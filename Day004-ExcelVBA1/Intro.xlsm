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aby\source\git\VANDNSH201904DATA5\Day 004 - Saturday 06-02\"/>
    </mc:Choice>
  </mc:AlternateContent>
  <xr:revisionPtr revIDLastSave="0" documentId="13_ncr:1_{8B42E778-79A5-4397-A64A-E517BA3F7895}" xr6:coauthVersionLast="36" xr6:coauthVersionMax="36" xr10:uidLastSave="{00000000-0000-0000-0000-000000000000}"/>
  <bookViews>
    <workbookView xWindow="0" yWindow="0" windowWidth="19200" windowHeight="6930" xr2:uid="{020ACC62-89E3-4B3D-9E0C-6274AB2A9EB9}"/>
  </bookViews>
  <sheets>
    <sheet name="Inventory 2019" sheetId="1" r:id="rId1"/>
    <sheet name="Lookups" sheetId="2" r:id="rId2"/>
  </sheets>
  <functionGroups builtInGroupCount="19"/>
  <definedNames>
    <definedName name="BeginningInventory">'Inventory 2019'!$D$6:$D$155</definedName>
    <definedName name="EndingInventory">'Inventory 2019'!$M$6:$M$155</definedName>
    <definedName name="Months">Lookups!$A$1:$B$12</definedName>
    <definedName name="Products">'Inventory 2019'!$A$6:$A$155</definedName>
    <definedName name="Sales">'Inventory 2019'!$E$6:$H$155</definedName>
    <definedName name="SelectedColumn">Lookups!$A$14</definedName>
    <definedName name="TotalRow">'Inventory 2019'!$A$156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56" i="1" l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14" i="2"/>
  <c r="AM152" i="1"/>
  <c r="AM153" i="1"/>
  <c r="AM154" i="1"/>
  <c r="AM155" i="1"/>
  <c r="AL153" i="1"/>
  <c r="AL154" i="1"/>
  <c r="AL155" i="1"/>
  <c r="AL7" i="1"/>
  <c r="AM7" i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L30" i="1"/>
  <c r="AM30" i="1"/>
  <c r="AL31" i="1"/>
  <c r="AM31" i="1"/>
  <c r="AL32" i="1"/>
  <c r="AM32" i="1"/>
  <c r="AL33" i="1"/>
  <c r="AM33" i="1"/>
  <c r="AL34" i="1"/>
  <c r="AM34" i="1"/>
  <c r="AL35" i="1"/>
  <c r="AM35" i="1"/>
  <c r="AL36" i="1"/>
  <c r="AM36" i="1"/>
  <c r="AL37" i="1"/>
  <c r="AM37" i="1"/>
  <c r="AL38" i="1"/>
  <c r="AM38" i="1"/>
  <c r="AL39" i="1"/>
  <c r="AM39" i="1"/>
  <c r="AL40" i="1"/>
  <c r="AM40" i="1"/>
  <c r="AL41" i="1"/>
  <c r="AM41" i="1"/>
  <c r="AL42" i="1"/>
  <c r="AM42" i="1"/>
  <c r="AL43" i="1"/>
  <c r="AM43" i="1"/>
  <c r="AL44" i="1"/>
  <c r="AM44" i="1"/>
  <c r="AL45" i="1"/>
  <c r="AM45" i="1"/>
  <c r="AL46" i="1"/>
  <c r="AM46" i="1"/>
  <c r="AL47" i="1"/>
  <c r="AM47" i="1"/>
  <c r="AL48" i="1"/>
  <c r="AM48" i="1"/>
  <c r="AL49" i="1"/>
  <c r="AM49" i="1"/>
  <c r="AL50" i="1"/>
  <c r="AM50" i="1"/>
  <c r="AL51" i="1"/>
  <c r="AM51" i="1"/>
  <c r="AL52" i="1"/>
  <c r="AM52" i="1"/>
  <c r="AL53" i="1"/>
  <c r="AM53" i="1"/>
  <c r="AL54" i="1"/>
  <c r="AM54" i="1"/>
  <c r="AL55" i="1"/>
  <c r="AM55" i="1"/>
  <c r="AL56" i="1"/>
  <c r="AM56" i="1"/>
  <c r="AL57" i="1"/>
  <c r="AM57" i="1"/>
  <c r="AL58" i="1"/>
  <c r="AM58" i="1"/>
  <c r="AL59" i="1"/>
  <c r="AM59" i="1"/>
  <c r="AL60" i="1"/>
  <c r="AM60" i="1"/>
  <c r="AL61" i="1"/>
  <c r="AM61" i="1"/>
  <c r="AL62" i="1"/>
  <c r="AM62" i="1"/>
  <c r="AL63" i="1"/>
  <c r="AM63" i="1"/>
  <c r="AL64" i="1"/>
  <c r="AM64" i="1"/>
  <c r="AL65" i="1"/>
  <c r="AM65" i="1"/>
  <c r="AL66" i="1"/>
  <c r="AM66" i="1"/>
  <c r="AL67" i="1"/>
  <c r="AM67" i="1"/>
  <c r="AL68" i="1"/>
  <c r="AM68" i="1"/>
  <c r="AL69" i="1"/>
  <c r="AM69" i="1"/>
  <c r="AL70" i="1"/>
  <c r="AM70" i="1"/>
  <c r="AL71" i="1"/>
  <c r="AM71" i="1"/>
  <c r="AL72" i="1"/>
  <c r="AM72" i="1"/>
  <c r="AL73" i="1"/>
  <c r="AM73" i="1"/>
  <c r="AL74" i="1"/>
  <c r="AM74" i="1"/>
  <c r="AL75" i="1"/>
  <c r="AM75" i="1"/>
  <c r="AL76" i="1"/>
  <c r="AM76" i="1"/>
  <c r="AL77" i="1"/>
  <c r="AM77" i="1"/>
  <c r="AL78" i="1"/>
  <c r="AM78" i="1"/>
  <c r="AL79" i="1"/>
  <c r="AM79" i="1"/>
  <c r="AL80" i="1"/>
  <c r="AM80" i="1"/>
  <c r="AL81" i="1"/>
  <c r="AM81" i="1"/>
  <c r="AL82" i="1"/>
  <c r="AM82" i="1"/>
  <c r="AL83" i="1"/>
  <c r="AM83" i="1"/>
  <c r="AL84" i="1"/>
  <c r="AM84" i="1"/>
  <c r="AL85" i="1"/>
  <c r="AM85" i="1"/>
  <c r="AL86" i="1"/>
  <c r="AM86" i="1"/>
  <c r="AL87" i="1"/>
  <c r="AM87" i="1"/>
  <c r="AL88" i="1"/>
  <c r="AM88" i="1"/>
  <c r="AL89" i="1"/>
  <c r="AM89" i="1"/>
  <c r="AL90" i="1"/>
  <c r="AM90" i="1"/>
  <c r="AL91" i="1"/>
  <c r="AM91" i="1"/>
  <c r="AL92" i="1"/>
  <c r="AM92" i="1"/>
  <c r="AL93" i="1"/>
  <c r="AM93" i="1"/>
  <c r="AL94" i="1"/>
  <c r="AM94" i="1"/>
  <c r="AL95" i="1"/>
  <c r="AM95" i="1"/>
  <c r="AL96" i="1"/>
  <c r="AM96" i="1"/>
  <c r="AL97" i="1"/>
  <c r="AM97" i="1"/>
  <c r="AL98" i="1"/>
  <c r="AM98" i="1"/>
  <c r="AL99" i="1"/>
  <c r="AM99" i="1"/>
  <c r="AL100" i="1"/>
  <c r="AM100" i="1"/>
  <c r="AL101" i="1"/>
  <c r="AM101" i="1"/>
  <c r="AL102" i="1"/>
  <c r="AM102" i="1"/>
  <c r="AL103" i="1"/>
  <c r="AM103" i="1"/>
  <c r="AL104" i="1"/>
  <c r="AM104" i="1"/>
  <c r="AL105" i="1"/>
  <c r="AM105" i="1"/>
  <c r="AL106" i="1"/>
  <c r="AM106" i="1"/>
  <c r="AL107" i="1"/>
  <c r="AM107" i="1"/>
  <c r="AL108" i="1"/>
  <c r="AM108" i="1"/>
  <c r="AL109" i="1"/>
  <c r="AM109" i="1"/>
  <c r="AL110" i="1"/>
  <c r="AM110" i="1"/>
  <c r="AL111" i="1"/>
  <c r="AM111" i="1"/>
  <c r="AL112" i="1"/>
  <c r="AM112" i="1"/>
  <c r="AL113" i="1"/>
  <c r="AM113" i="1"/>
  <c r="AL114" i="1"/>
  <c r="AM114" i="1"/>
  <c r="AL115" i="1"/>
  <c r="AM115" i="1"/>
  <c r="AL116" i="1"/>
  <c r="AM116" i="1"/>
  <c r="AL117" i="1"/>
  <c r="AM117" i="1"/>
  <c r="AL118" i="1"/>
  <c r="AM118" i="1"/>
  <c r="AL119" i="1"/>
  <c r="AM119" i="1"/>
  <c r="AL120" i="1"/>
  <c r="AM120" i="1"/>
  <c r="AL121" i="1"/>
  <c r="AM121" i="1"/>
  <c r="AL122" i="1"/>
  <c r="AM122" i="1"/>
  <c r="AL123" i="1"/>
  <c r="AM123" i="1"/>
  <c r="AL124" i="1"/>
  <c r="AM124" i="1"/>
  <c r="AL125" i="1"/>
  <c r="AM125" i="1"/>
  <c r="AL126" i="1"/>
  <c r="AM126" i="1"/>
  <c r="AL127" i="1"/>
  <c r="AM127" i="1"/>
  <c r="AL128" i="1"/>
  <c r="AM128" i="1"/>
  <c r="AL129" i="1"/>
  <c r="AM129" i="1"/>
  <c r="AL130" i="1"/>
  <c r="AM130" i="1"/>
  <c r="AL131" i="1"/>
  <c r="AM131" i="1"/>
  <c r="AL132" i="1"/>
  <c r="AM132" i="1"/>
  <c r="AL133" i="1"/>
  <c r="AM133" i="1"/>
  <c r="AL134" i="1"/>
  <c r="AM134" i="1"/>
  <c r="AL135" i="1"/>
  <c r="AM135" i="1"/>
  <c r="AL136" i="1"/>
  <c r="AM136" i="1"/>
  <c r="AL137" i="1"/>
  <c r="AM137" i="1"/>
  <c r="AL138" i="1"/>
  <c r="AM138" i="1"/>
  <c r="AL139" i="1"/>
  <c r="AM139" i="1"/>
  <c r="AL140" i="1"/>
  <c r="AM140" i="1"/>
  <c r="AL141" i="1"/>
  <c r="AM141" i="1"/>
  <c r="AL142" i="1"/>
  <c r="AM142" i="1"/>
  <c r="AL143" i="1"/>
  <c r="AM143" i="1"/>
  <c r="AL144" i="1"/>
  <c r="AM144" i="1"/>
  <c r="AL145" i="1"/>
  <c r="AM145" i="1"/>
  <c r="AL146" i="1"/>
  <c r="AM146" i="1"/>
  <c r="AL147" i="1"/>
  <c r="AM147" i="1"/>
  <c r="AL148" i="1"/>
  <c r="AM148" i="1"/>
  <c r="AL149" i="1"/>
  <c r="AM149" i="1"/>
  <c r="AL150" i="1"/>
  <c r="AM150" i="1"/>
  <c r="AL151" i="1"/>
  <c r="AM151" i="1"/>
  <c r="AL152" i="1"/>
  <c r="AM6" i="1"/>
  <c r="AL6" i="1"/>
  <c r="AM156" i="1" l="1"/>
  <c r="AL156" i="1"/>
  <c r="D156" i="1"/>
  <c r="E156" i="1"/>
  <c r="F156" i="1"/>
  <c r="G156" i="1"/>
  <c r="H156" i="1"/>
  <c r="I154" i="1"/>
  <c r="I85" i="1"/>
  <c r="I113" i="1"/>
  <c r="I46" i="1"/>
  <c r="I119" i="1"/>
  <c r="I50" i="1"/>
  <c r="I153" i="1"/>
  <c r="I129" i="1"/>
  <c r="I23" i="1"/>
  <c r="I56" i="1"/>
  <c r="I88" i="1"/>
  <c r="I52" i="1"/>
  <c r="I145" i="1"/>
  <c r="I98" i="1"/>
  <c r="I75" i="1"/>
  <c r="I155" i="1"/>
  <c r="I60" i="1"/>
  <c r="I125" i="1"/>
  <c r="I34" i="1"/>
  <c r="I116" i="1"/>
  <c r="I103" i="1"/>
  <c r="I77" i="1"/>
  <c r="I10" i="1"/>
  <c r="I9" i="1"/>
  <c r="I84" i="1"/>
  <c r="I83" i="1"/>
  <c r="I71" i="1"/>
  <c r="I26" i="1"/>
  <c r="I64" i="1"/>
  <c r="I87" i="1"/>
  <c r="I114" i="1"/>
  <c r="I136" i="1"/>
  <c r="I93" i="1"/>
  <c r="I18" i="1"/>
  <c r="I28" i="1"/>
  <c r="I31" i="1"/>
  <c r="I82" i="1"/>
  <c r="I117" i="1"/>
  <c r="I105" i="1"/>
  <c r="I148" i="1"/>
  <c r="I135" i="1"/>
  <c r="I92" i="1"/>
  <c r="I109" i="1"/>
  <c r="I11" i="1"/>
  <c r="I59" i="1"/>
  <c r="I94" i="1"/>
  <c r="I97" i="1"/>
  <c r="I99" i="1"/>
  <c r="I62" i="1"/>
  <c r="I146" i="1"/>
  <c r="I80" i="1"/>
  <c r="I86" i="1"/>
  <c r="I79" i="1"/>
  <c r="I12" i="1"/>
  <c r="I96" i="1"/>
  <c r="I69" i="1"/>
  <c r="I121" i="1"/>
  <c r="I51" i="1"/>
  <c r="I90" i="1"/>
  <c r="I141" i="1"/>
  <c r="I22" i="1"/>
  <c r="I107" i="1"/>
  <c r="I8" i="1"/>
  <c r="I122" i="1"/>
  <c r="I33" i="1"/>
  <c r="I111" i="1"/>
  <c r="I40" i="1"/>
  <c r="I134" i="1"/>
  <c r="I35" i="1"/>
  <c r="I142" i="1"/>
  <c r="I74" i="1"/>
  <c r="I20" i="1"/>
  <c r="I91" i="1"/>
  <c r="I45" i="1"/>
  <c r="I144" i="1"/>
  <c r="I132" i="1"/>
  <c r="I81" i="1"/>
  <c r="I36" i="1"/>
  <c r="I66" i="1"/>
  <c r="I89" i="1"/>
  <c r="I101" i="1"/>
  <c r="I65" i="1"/>
  <c r="I49" i="1"/>
  <c r="I27" i="1"/>
  <c r="I100" i="1"/>
  <c r="I58" i="1"/>
  <c r="I139" i="1"/>
  <c r="I138" i="1"/>
  <c r="I118" i="1"/>
  <c r="I61" i="1"/>
  <c r="I78" i="1"/>
  <c r="I67" i="1"/>
  <c r="I30" i="1"/>
  <c r="I47" i="1"/>
  <c r="I63" i="1"/>
  <c r="I112" i="1"/>
  <c r="I130" i="1"/>
  <c r="I108" i="1"/>
  <c r="I123" i="1"/>
  <c r="I13" i="1"/>
  <c r="I115" i="1"/>
  <c r="I19" i="1"/>
  <c r="I72" i="1"/>
  <c r="I25" i="1"/>
  <c r="I6" i="1"/>
  <c r="I68" i="1"/>
  <c r="I39" i="1"/>
  <c r="I14" i="1"/>
  <c r="I102" i="1"/>
  <c r="I43" i="1"/>
  <c r="I147" i="1"/>
  <c r="I149" i="1"/>
  <c r="I42" i="1"/>
  <c r="I70" i="1"/>
  <c r="I44" i="1"/>
  <c r="I41" i="1"/>
  <c r="I127" i="1"/>
  <c r="I137" i="1"/>
  <c r="I16" i="1"/>
  <c r="I57" i="1"/>
  <c r="I143" i="1"/>
  <c r="I73" i="1"/>
  <c r="I152" i="1"/>
  <c r="I76" i="1"/>
  <c r="I32" i="1"/>
  <c r="I95" i="1"/>
  <c r="I21" i="1"/>
  <c r="I106" i="1"/>
  <c r="I140" i="1"/>
  <c r="I37" i="1"/>
  <c r="I48" i="1"/>
  <c r="I15" i="1"/>
  <c r="I53" i="1"/>
  <c r="I24" i="1"/>
  <c r="I126" i="1"/>
  <c r="I55" i="1"/>
  <c r="I17" i="1"/>
  <c r="I38" i="1"/>
  <c r="I150" i="1"/>
  <c r="I104" i="1"/>
  <c r="I7" i="1"/>
  <c r="I110" i="1"/>
  <c r="I54" i="1"/>
  <c r="I124" i="1"/>
  <c r="I133" i="1"/>
  <c r="I128" i="1"/>
  <c r="I151" i="1"/>
  <c r="I120" i="1"/>
  <c r="I131" i="1"/>
  <c r="I29" i="1"/>
  <c r="I156" i="1" l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156" i="1" l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156" i="1" l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M6" i="1" l="1"/>
  <c r="M7" i="1"/>
  <c r="M150" i="1"/>
  <c r="M125" i="1"/>
  <c r="M144" i="1"/>
  <c r="M11" i="1"/>
  <c r="M80" i="1"/>
  <c r="M35" i="1"/>
  <c r="M151" i="1"/>
  <c r="M148" i="1"/>
  <c r="M22" i="1"/>
  <c r="M95" i="1"/>
  <c r="M104" i="1"/>
  <c r="M93" i="1"/>
  <c r="M138" i="1"/>
  <c r="M103" i="1"/>
  <c r="M94" i="1"/>
  <c r="M55" i="1"/>
  <c r="M24" i="1"/>
  <c r="M9" i="1"/>
  <c r="M49" i="1"/>
  <c r="M154" i="1"/>
  <c r="M71" i="1"/>
  <c r="M82" i="1"/>
  <c r="M15" i="1"/>
  <c r="M139" i="1"/>
  <c r="M155" i="1"/>
  <c r="M90" i="1"/>
  <c r="M133" i="1"/>
  <c r="M27" i="1"/>
  <c r="M26" i="1"/>
  <c r="M91" i="1"/>
  <c r="M131" i="1"/>
  <c r="M61" i="1"/>
  <c r="M135" i="1"/>
  <c r="M21" i="1"/>
  <c r="M140" i="1"/>
  <c r="M12" i="1"/>
  <c r="M56" i="1"/>
  <c r="M110" i="1"/>
  <c r="M28" i="1"/>
  <c r="M147" i="1"/>
  <c r="M60" i="1"/>
  <c r="M62" i="1"/>
  <c r="M63" i="1"/>
  <c r="M46" i="1"/>
  <c r="M19" i="1"/>
  <c r="M64" i="1"/>
  <c r="M39" i="1"/>
  <c r="M86" i="1"/>
  <c r="M25" i="1"/>
  <c r="M113" i="1"/>
  <c r="M109" i="1"/>
  <c r="M79" i="1"/>
  <c r="M146" i="1"/>
  <c r="M13" i="1"/>
  <c r="M92" i="1"/>
  <c r="M121" i="1"/>
  <c r="M123" i="1"/>
  <c r="M67" i="1"/>
  <c r="M76" i="1"/>
  <c r="M83" i="1"/>
  <c r="M127" i="1"/>
  <c r="M134" i="1"/>
  <c r="M68" i="1"/>
  <c r="M136" i="1"/>
  <c r="M115" i="1"/>
  <c r="M122" i="1"/>
  <c r="M14" i="1"/>
  <c r="M137" i="1"/>
  <c r="M36" i="1"/>
  <c r="M141" i="1"/>
  <c r="M120" i="1"/>
  <c r="M77" i="1"/>
  <c r="M111" i="1"/>
  <c r="M106" i="1"/>
  <c r="M59" i="1"/>
  <c r="M37" i="1"/>
  <c r="M78" i="1"/>
  <c r="M66" i="1"/>
  <c r="M102" i="1"/>
  <c r="M119" i="1"/>
  <c r="M70" i="1"/>
  <c r="M8" i="1"/>
  <c r="M51" i="1"/>
  <c r="M108" i="1"/>
  <c r="M101" i="1"/>
  <c r="M73" i="1"/>
  <c r="M75" i="1"/>
  <c r="M45" i="1"/>
  <c r="M34" i="1"/>
  <c r="M58" i="1"/>
  <c r="M96" i="1"/>
  <c r="M54" i="1"/>
  <c r="M69" i="1"/>
  <c r="M88" i="1"/>
  <c r="M84" i="1"/>
  <c r="M81" i="1"/>
  <c r="M112" i="1"/>
  <c r="M29" i="1"/>
  <c r="M74" i="1"/>
  <c r="M118" i="1"/>
  <c r="M117" i="1"/>
  <c r="M33" i="1"/>
  <c r="M153" i="1"/>
  <c r="M17" i="1"/>
  <c r="M97" i="1"/>
  <c r="M126" i="1"/>
  <c r="M31" i="1"/>
  <c r="M38" i="1"/>
  <c r="M114" i="1"/>
  <c r="M107" i="1"/>
  <c r="M16" i="1"/>
  <c r="M145" i="1"/>
  <c r="M20" i="1"/>
  <c r="M85" i="1"/>
  <c r="M57" i="1"/>
  <c r="M50" i="1"/>
  <c r="M99" i="1"/>
  <c r="M53" i="1"/>
  <c r="M42" i="1"/>
  <c r="M65" i="1"/>
  <c r="M142" i="1"/>
  <c r="M149" i="1"/>
  <c r="M116" i="1"/>
  <c r="M44" i="1"/>
  <c r="M132" i="1"/>
  <c r="M10" i="1"/>
  <c r="M87" i="1"/>
  <c r="M152" i="1"/>
  <c r="M52" i="1"/>
  <c r="M30" i="1"/>
  <c r="M128" i="1"/>
  <c r="M105" i="1"/>
  <c r="M124" i="1"/>
  <c r="M48" i="1"/>
  <c r="M130" i="1"/>
  <c r="M89" i="1"/>
  <c r="M43" i="1"/>
  <c r="M143" i="1"/>
  <c r="M98" i="1"/>
  <c r="M32" i="1"/>
  <c r="M18" i="1"/>
  <c r="M23" i="1"/>
  <c r="M72" i="1"/>
  <c r="M129" i="1"/>
  <c r="M40" i="1"/>
  <c r="M100" i="1"/>
  <c r="M41" i="1"/>
  <c r="M47" i="1"/>
  <c r="L156" i="1"/>
  <c r="M15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Kingaby, Simon</author>
  </authors>
  <commentList>
    <comment ref="I6" authorId="0" shapeId="0" xr:uid="{386342E4-8EB8-49B7-8ACA-99B82DE7A7BA}">
      <text>
        <r>
          <rPr>
            <b/>
            <sz val="9"/>
            <color indexed="81"/>
            <rFont val="Tahoma"/>
            <family val="2"/>
          </rPr>
          <t>Kingaby, Simon:</t>
        </r>
        <r>
          <rPr>
            <sz val="9"/>
            <color indexed="81"/>
            <rFont val="Tahoma"/>
            <family val="2"/>
          </rPr>
          <t xml:space="preserve">
IF INV - SALES &lt; ROP THEN REORDER X MOQ </t>
        </r>
      </text>
    </comment>
    <comment ref="J6" authorId="0" shapeId="0" xr:uid="{DAFF8BA3-70FE-46A0-ADE3-61528E86B0C5}">
      <text>
        <r>
          <rPr>
            <b/>
            <sz val="9"/>
            <color indexed="81"/>
            <rFont val="Tahoma"/>
            <family val="2"/>
          </rPr>
          <t>Kingaby, Simon:</t>
        </r>
        <r>
          <rPr>
            <sz val="9"/>
            <color indexed="81"/>
            <rFont val="Tahoma"/>
            <family val="2"/>
          </rPr>
          <t xml:space="preserve">
Same as Week 1 Except Beginning Inventory is BI - W1 SALES + W1 PURCHASES</t>
        </r>
      </text>
    </comment>
  </commentList>
</comments>
</file>

<file path=xl/sharedStrings.xml><?xml version="1.0" encoding="utf-8"?>
<sst xmlns="http://schemas.openxmlformats.org/spreadsheetml/2006/main" count="222" uniqueCount="179">
  <si>
    <t>Product Code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</si>
  <si>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</si>
  <si>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</si>
  <si>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</si>
  <si>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</si>
  <si>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</si>
  <si>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</si>
  <si>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</si>
  <si>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</si>
  <si>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</si>
  <si>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</si>
  <si>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</si>
  <si>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</si>
  <si>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</si>
  <si>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</si>
  <si>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</si>
  <si>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</si>
  <si>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</si>
  <si>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A0018</t>
  </si>
  <si>
    <t>A0019</t>
  </si>
  <si>
    <t>A0020</t>
  </si>
  <si>
    <t>A0021</t>
  </si>
  <si>
    <t>A0022</t>
  </si>
  <si>
    <t>A0023</t>
  </si>
  <si>
    <t>A0024</t>
  </si>
  <si>
    <t>A0025</t>
  </si>
  <si>
    <t>A0026</t>
  </si>
  <si>
    <t>A0027</t>
  </si>
  <si>
    <t>A0028</t>
  </si>
  <si>
    <t>A0029</t>
  </si>
  <si>
    <t>A0030</t>
  </si>
  <si>
    <t>A0031</t>
  </si>
  <si>
    <t>A0032</t>
  </si>
  <si>
    <t>A0033</t>
  </si>
  <si>
    <t>A0034</t>
  </si>
  <si>
    <t>A0035</t>
  </si>
  <si>
    <t>A0036</t>
  </si>
  <si>
    <t>A0037</t>
  </si>
  <si>
    <t>A0038</t>
  </si>
  <si>
    <t>A0039</t>
  </si>
  <si>
    <t>A0040</t>
  </si>
  <si>
    <t>A0041</t>
  </si>
  <si>
    <t>A0042</t>
  </si>
  <si>
    <t>A0043</t>
  </si>
  <si>
    <t>A0044</t>
  </si>
  <si>
    <t>A0045</t>
  </si>
  <si>
    <t>A0046</t>
  </si>
  <si>
    <t>A0047</t>
  </si>
  <si>
    <t>A0048</t>
  </si>
  <si>
    <t>A0049</t>
  </si>
  <si>
    <t>A0050</t>
  </si>
  <si>
    <t>A0051</t>
  </si>
  <si>
    <t>A0052</t>
  </si>
  <si>
    <t>A0053</t>
  </si>
  <si>
    <t>A0054</t>
  </si>
  <si>
    <t>A0055</t>
  </si>
  <si>
    <t>A0056</t>
  </si>
  <si>
    <t>A0057</t>
  </si>
  <si>
    <t>A0058</t>
  </si>
  <si>
    <t>A0059</t>
  </si>
  <si>
    <t>A0060</t>
  </si>
  <si>
    <t>A0061</t>
  </si>
  <si>
    <t>A0062</t>
  </si>
  <si>
    <t>A0063</t>
  </si>
  <si>
    <t>A0064</t>
  </si>
  <si>
    <t>A0065</t>
  </si>
  <si>
    <t>A0066</t>
  </si>
  <si>
    <t>A0067</t>
  </si>
  <si>
    <t>A0068</t>
  </si>
  <si>
    <t>A0069</t>
  </si>
  <si>
    <t>A0070</t>
  </si>
  <si>
    <t>A0071</t>
  </si>
  <si>
    <t>A0072</t>
  </si>
  <si>
    <t>A0073</t>
  </si>
  <si>
    <t>A0074</t>
  </si>
  <si>
    <t>A0075</t>
  </si>
  <si>
    <t>A0076</t>
  </si>
  <si>
    <t>A0077</t>
  </si>
  <si>
    <t>A0078</t>
  </si>
  <si>
    <t>A0079</t>
  </si>
  <si>
    <t>A0080</t>
  </si>
  <si>
    <t>A0081</t>
  </si>
  <si>
    <t>A0082</t>
  </si>
  <si>
    <t>A0083</t>
  </si>
  <si>
    <t>A0084</t>
  </si>
  <si>
    <t>A0085</t>
  </si>
  <si>
    <t>A0086</t>
  </si>
  <si>
    <t>A0087</t>
  </si>
  <si>
    <t>A0088</t>
  </si>
  <si>
    <t>A0089</t>
  </si>
  <si>
    <t>A0090</t>
  </si>
  <si>
    <t>A0091</t>
  </si>
  <si>
    <t>A0092</t>
  </si>
  <si>
    <t>A0093</t>
  </si>
  <si>
    <t>A0094</t>
  </si>
  <si>
    <t>A0095</t>
  </si>
  <si>
    <t>A0096</t>
  </si>
  <si>
    <t>A0097</t>
  </si>
  <si>
    <t>A0098</t>
  </si>
  <si>
    <t>A0099</t>
  </si>
  <si>
    <t>A0100</t>
  </si>
  <si>
    <t>A0101</t>
  </si>
  <si>
    <t>A0102</t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</si>
  <si>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</si>
  <si>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</si>
  <si>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</si>
  <si>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</si>
  <si>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</si>
  <si>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</si>
  <si>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</si>
  <si>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</si>
  <si>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</si>
  <si>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</si>
  <si>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</si>
  <si>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</si>
  <si>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</si>
  <si>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A0116</t>
  </si>
  <si>
    <t>A0117</t>
  </si>
  <si>
    <t>A0118</t>
  </si>
  <si>
    <t>A0119</t>
  </si>
  <si>
    <t>A0120</t>
  </si>
  <si>
    <t>A0121</t>
  </si>
  <si>
    <t>A0122</t>
  </si>
  <si>
    <t>A0123</t>
  </si>
  <si>
    <t>A0124</t>
  </si>
  <si>
    <t>A0125</t>
  </si>
  <si>
    <t>A0126</t>
  </si>
  <si>
    <t>A0127</t>
  </si>
  <si>
    <t>A0128</t>
  </si>
  <si>
    <t>A0129</t>
  </si>
  <si>
    <t>A0130</t>
  </si>
  <si>
    <t>A0131</t>
  </si>
  <si>
    <t>A0132</t>
  </si>
  <si>
    <t>A0133</t>
  </si>
  <si>
    <t>A0134</t>
  </si>
  <si>
    <t>A0135</t>
  </si>
  <si>
    <t>A0136</t>
  </si>
  <si>
    <t>A0137</t>
  </si>
  <si>
    <t>A0138</t>
  </si>
  <si>
    <t>A0139</t>
  </si>
  <si>
    <t>A0140</t>
  </si>
  <si>
    <t>A0141</t>
  </si>
  <si>
    <t>A0142</t>
  </si>
  <si>
    <t>A0143</t>
  </si>
  <si>
    <t>A0144</t>
  </si>
  <si>
    <t>A0145</t>
  </si>
  <si>
    <t>A0146</t>
  </si>
  <si>
    <t>A0147</t>
  </si>
  <si>
    <t>A0148</t>
  </si>
  <si>
    <t>A0149</t>
  </si>
  <si>
    <t>A0150</t>
  </si>
  <si>
    <t>Inventory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</si>
  <si>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</si>
  <si>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</si>
  <si>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</si>
  <si>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</si>
  <si>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</si>
  <si>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</si>
  <si>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</si>
  <si>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</si>
  <si>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</si>
  <si>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</si>
  <si>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</si>
  <si>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</si>
  <si>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</si>
  <si>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Sales</t>
  </si>
  <si>
    <t>Purchases</t>
  </si>
  <si>
    <t>Week 1</t>
  </si>
  <si>
    <t>Week 2</t>
  </si>
  <si>
    <t>Week 3</t>
  </si>
  <si>
    <t>Week 4</t>
  </si>
  <si>
    <t>Minimum</t>
  </si>
  <si>
    <t>Beginning</t>
  </si>
  <si>
    <t>Reorder Point</t>
  </si>
  <si>
    <t>Ending</t>
  </si>
  <si>
    <t>Total</t>
  </si>
  <si>
    <t>Order Qty</t>
  </si>
  <si>
    <t>Import Sales for Week:</t>
  </si>
  <si>
    <t>End of Month Process: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</si>
</sst>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2" dropStyle="combo" dx="31" fmlaLink="I1" fmlaRange="Lookups!$B$1:$B$12" noThreeD="1" sel="5" val="0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184150</xdr:colOff>
          <xdr:row>0</xdr:row>
          <xdr:rowOff>0</xdr:rowOff>
        </xdr:from>
        <xdr:to>
          <xdr:col>3</xdr:col>
          <xdr:colOff>927100</xdr:colOff>
          <xdr:row>1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0</xdr:rowOff>
        </xdr:from>
        <xdr:to>
          <xdr:col>5</xdr:col>
          <xdr:colOff>628650</xdr:colOff>
          <xdr:row>1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0</xdr:row>
          <xdr:rowOff>25400</xdr:rowOff>
        </xdr:from>
        <xdr:to>
          <xdr:col>9</xdr:col>
          <xdr:colOff>260350</xdr:colOff>
          <xdr:row>1</xdr:row>
          <xdr:rowOff>38100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0</xdr:rowOff>
        </xdr:from>
        <xdr:to>
          <xdr:col>10</xdr:col>
          <xdr:colOff>825500</xdr:colOff>
          <xdr:row>1</xdr:row>
          <xdr:rowOff>82550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EOM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4780-085E-42F6-A772-6035A085D626}">
  <sheetPr codeName="Sheet1"/>
  <dimension ref="A1:AM156"/>
  <sheetViews>
    <sheetView tabSelected="1" zoomScaleNormal="100" workbookViewId="0">
      <pane ySplit="5" topLeftCell="A6" activePane="bottomLeft" state="frozen"/>
      <selection pane="bottomLeft" activeCell="D6" sqref="D6:D155"/>
    </sheetView>
  </sheetViews>
  <sheetFormatPr defaultRowHeight="14.5" x14ac:dyDescent="0.35"/>
  <cols>
    <col min="1" max="1" width="12" style="1" bestFit="1" customWidth="1"/>
    <col min="2" max="2" width="13.26953125" style="1" customWidth="1"/>
    <col min="3" max="4" width="15" style="1" customWidth="1"/>
    <col min="5" max="13" width="12" style="1" customWidth="1"/>
    <col min="14" max="37" width="10.36328125" style="1" customWidth="1"/>
    <col min="38" max="39" width="13.453125" style="1" customWidth="1"/>
    <col min="40" max="16384" width="8.7265625" style="1"/>
  </cols>
  <sheetData>
    <row r="1" spans="1:39" x14ac:dyDescent="0.35">
      <c r="A1" s="1" t="s">
        <v>177</v>
      </c>
      <c r="C1" s="1">
        <v>4</v>
      </c>
      <c r="G1" s="1" t="s">
        <v>178</v>
      </c>
      <c r="I1" s="1">
        <v>5</v>
      </c>
    </row>
    <row r="4" spans="1:39" x14ac:dyDescent="0.35">
      <c r="C4" s="2" t="s">
        <v>171</v>
      </c>
      <c r="D4" s="2" t="s">
        <v>172</v>
      </c>
      <c r="E4" s="3" t="s">
        <v>165</v>
      </c>
      <c r="F4" s="3"/>
      <c r="G4" s="3"/>
      <c r="H4" s="3"/>
      <c r="I4" s="3" t="s">
        <v>166</v>
      </c>
      <c r="J4" s="3"/>
      <c r="K4" s="3"/>
      <c r="L4" s="3"/>
      <c r="M4" s="2" t="s">
        <v>174</v>
      </c>
      <c r="N4" s="3" t="s">
        <v>152</v>
      </c>
      <c r="O4" s="3"/>
      <c r="P4" s="3" t="s">
        <v>153</v>
      </c>
      <c r="Q4" s="3"/>
      <c r="R4" s="3" t="s">
        <v>154</v>
      </c>
      <c r="S4" s="3"/>
      <c r="T4" s="3" t="s">
        <v>155</v>
      </c>
      <c r="U4" s="3"/>
      <c r="V4" s="3" t="s">
        <v>156</v>
      </c>
      <c r="W4" s="3"/>
      <c r="X4" s="3" t="s">
        <v>157</v>
      </c>
      <c r="Y4" s="3"/>
      <c r="Z4" s="3" t="s">
        <v>158</v>
      </c>
      <c r="AA4" s="3"/>
      <c r="AB4" s="3" t="s">
        <v>159</v>
      </c>
      <c r="AC4" s="3"/>
      <c r="AD4" s="3" t="s">
        <v>160</v>
      </c>
      <c r="AE4" s="3"/>
      <c r="AF4" s="3" t="s">
        <v>161</v>
      </c>
      <c r="AG4" s="3"/>
      <c r="AH4" s="3" t="s">
        <v>162</v>
      </c>
      <c r="AI4" s="3"/>
      <c r="AJ4" s="3" t="s">
        <v>163</v>
      </c>
      <c r="AK4" s="3"/>
      <c r="AL4" s="3" t="s">
        <v>164</v>
      </c>
      <c r="AM4" s="3"/>
    </row>
    <row r="5" spans="1:39" s="2" customFormat="1" x14ac:dyDescent="0.35">
      <c r="A5" s="2" t="s">
        <v>0</v>
      </c>
      <c r="B5" s="2" t="s">
        <v>173</v>
      </c>
      <c r="C5" s="2" t="s">
        <v>176</v>
      </c>
      <c r="D5" s="2" t="s">
        <v>151</v>
      </c>
      <c r="E5" s="2" t="s">
        <v>167</v>
      </c>
      <c r="F5" s="2" t="s">
        <v>168</v>
      </c>
      <c r="G5" s="2" t="s">
        <v>169</v>
      </c>
      <c r="H5" s="2" t="s">
        <v>170</v>
      </c>
      <c r="I5" s="2" t="s">
        <v>167</v>
      </c>
      <c r="J5" s="2" t="s">
        <v>168</v>
      </c>
      <c r="K5" s="2" t="s">
        <v>169</v>
      </c>
      <c r="L5" s="2" t="s">
        <v>170</v>
      </c>
      <c r="M5" s="2" t="s">
        <v>151</v>
      </c>
      <c r="N5" s="2" t="s">
        <v>165</v>
      </c>
      <c r="O5" s="2" t="s">
        <v>166</v>
      </c>
      <c r="P5" s="2" t="s">
        <v>165</v>
      </c>
      <c r="Q5" s="2" t="s">
        <v>166</v>
      </c>
      <c r="R5" s="2" t="s">
        <v>165</v>
      </c>
      <c r="S5" s="2" t="s">
        <v>166</v>
      </c>
      <c r="T5" s="2" t="s">
        <v>165</v>
      </c>
      <c r="U5" s="2" t="s">
        <v>166</v>
      </c>
      <c r="V5" s="2" t="s">
        <v>165</v>
      </c>
      <c r="W5" s="2" t="s">
        <v>166</v>
      </c>
      <c r="X5" s="2" t="s">
        <v>165</v>
      </c>
      <c r="Y5" s="2" t="s">
        <v>166</v>
      </c>
      <c r="Z5" s="2" t="s">
        <v>165</v>
      </c>
      <c r="AA5" s="2" t="s">
        <v>166</v>
      </c>
      <c r="AB5" s="2" t="s">
        <v>165</v>
      </c>
      <c r="AC5" s="2" t="s">
        <v>166</v>
      </c>
      <c r="AD5" s="2" t="s">
        <v>165</v>
      </c>
      <c r="AE5" s="2" t="s">
        <v>166</v>
      </c>
      <c r="AF5" s="2" t="s">
        <v>165</v>
      </c>
      <c r="AG5" s="2" t="s">
        <v>166</v>
      </c>
      <c r="AH5" s="2" t="s">
        <v>165</v>
      </c>
      <c r="AI5" s="2" t="s">
        <v>166</v>
      </c>
      <c r="AJ5" s="2" t="s">
        <v>165</v>
      </c>
      <c r="AK5" s="2" t="s">
        <v>166</v>
      </c>
      <c r="AL5" s="2" t="s">
        <v>165</v>
      </c>
      <c r="AM5" s="2" t="s">
        <v>166</v>
      </c>
    </row>
    <row r="6" spans="1:39" x14ac:dyDescent="0.35">
      <c r="A6" s="1" t="s">
        <v>1</v>
      </c>
      <c r="B6" s="1">
        <v>110</v>
      </c>
      <c r="C6" s="1">
        <v>100</v>
      </c>
      <c r="D6" s="1">
        <v>117</v>
      </c>
      <c r="I6" s="1">
        <f>Purchase(D6,B6,C6,E6)</f>
        <v>0</v>
      </c>
      <c r="J6" s="1">
        <f>Purchase(D6+I6,B6,C6,SUM(E6:F6))</f>
        <v>0</v>
      </c>
      <c r="K6" s="1">
        <f>Purchase(D6+SUM(I6:J6),B6,C6,SUM(E6:G6))</f>
        <v>0</v>
      </c>
      <c r="L6" s="1">
        <f>Purchase(D6+SUM(I6:K6),B6,C6,SUM(E6:H6))</f>
        <v>0</v>
      </c>
      <c r="M6" s="1">
        <f t="shared" ref="M6:M70" si="0">D6-SUM(E6:H6)+SUM(I6:L6)</f>
        <v>117</v>
      </c>
      <c r="N6" s="1">
        <v>1226</v>
      </c>
      <c r="O6" s="1">
        <v>1100</v>
      </c>
      <c r="P6" s="1">
        <v>793</v>
      </c>
      <c r="Q6" s="1">
        <v>1300</v>
      </c>
      <c r="R6" s="1">
        <v>1465</v>
      </c>
      <c r="S6" s="1">
        <v>1000</v>
      </c>
      <c r="T6" s="1">
        <v>1198</v>
      </c>
      <c r="U6" s="1">
        <v>1300</v>
      </c>
      <c r="V6" s="1">
        <v>369</v>
      </c>
      <c r="W6" s="1">
        <v>300</v>
      </c>
      <c r="AL6" s="1">
        <f>SUM(AJ6,AH6,AF6,AD6,AB6,Z6,X6,V6,T6,R6,P6,N6)</f>
        <v>5051</v>
      </c>
      <c r="AM6" s="1">
        <f>SUM(AK6,AI6,AG6,AE6,AC6,AA6,Y6,W6,U6,S6,Q6,O6)</f>
        <v>5000</v>
      </c>
    </row>
    <row r="7" spans="1:39" x14ac:dyDescent="0.35">
      <c r="A7" s="1" t="s">
        <v>2</v>
      </c>
      <c r="B7" s="1">
        <v>62</v>
      </c>
      <c r="C7" s="1">
        <v>100</v>
      </c>
      <c r="D7" s="1">
        <v>83</v>
      </c>
      <c r="I7" s="1">
        <f t="shared" ref="I7:I70" si="1">Purchase(D7,B7,C7,E7)</f>
        <v>0</v>
      </c>
      <c r="J7" s="1">
        <f t="shared" ref="J7:J70" si="2">Purchase(D7+I7,B7,C7,SUM(E7:F7))</f>
        <v>0</v>
      </c>
      <c r="K7" s="1">
        <f t="shared" ref="K7:K70" si="3">Purchase(D7+SUM(I7:J7),B7,C7,SUM(E7:G7))</f>
        <v>0</v>
      </c>
      <c r="L7" s="1">
        <f t="shared" ref="L7:L70" si="4">Purchase(D7+SUM(I7:K7),B7,C7,SUM(E7:H7))</f>
        <v>0</v>
      </c>
      <c r="M7" s="1">
        <f t="shared" si="0"/>
        <v>83</v>
      </c>
      <c r="N7" s="1">
        <v>635</v>
      </c>
      <c r="O7" s="1">
        <v>2000</v>
      </c>
      <c r="P7" s="1">
        <v>871</v>
      </c>
      <c r="Q7" s="1">
        <v>1300</v>
      </c>
      <c r="R7" s="1">
        <v>1154</v>
      </c>
      <c r="S7" s="1">
        <v>1500</v>
      </c>
      <c r="T7" s="1">
        <v>1507</v>
      </c>
      <c r="U7" s="1">
        <v>1500</v>
      </c>
      <c r="V7" s="1">
        <v>628</v>
      </c>
      <c r="W7" s="1">
        <v>600</v>
      </c>
      <c r="AL7" s="1">
        <f t="shared" ref="AL7:AL70" si="5">SUM(AJ7,AH7,AF7,AD7,AB7,Z7,X7,V7,T7,R7,P7,N7)</f>
        <v>4795</v>
      </c>
      <c r="AM7" s="1">
        <f t="shared" ref="AM7:AM70" si="6">SUM(AK7,AI7,AG7,AE7,AC7,AA7,Y7,W7,U7,S7,Q7,O7)</f>
        <v>6900</v>
      </c>
    </row>
    <row r="8" spans="1:39" x14ac:dyDescent="0.35">
      <c r="A8" s="1" t="s">
        <v>3</v>
      </c>
      <c r="B8" s="1">
        <v>120</v>
      </c>
      <c r="C8" s="1">
        <v>400</v>
      </c>
      <c r="D8" s="1">
        <v>251</v>
      </c>
      <c r="I8" s="1">
        <f t="shared" si="1"/>
        <v>0</v>
      </c>
      <c r="J8" s="1">
        <f t="shared" si="2"/>
        <v>0</v>
      </c>
      <c r="K8" s="1">
        <f t="shared" si="3"/>
        <v>0</v>
      </c>
      <c r="L8" s="1">
        <f t="shared" si="4"/>
        <v>0</v>
      </c>
      <c r="M8" s="1">
        <f t="shared" si="0"/>
        <v>251</v>
      </c>
      <c r="N8" s="1">
        <v>794</v>
      </c>
      <c r="O8" s="1">
        <v>1600</v>
      </c>
      <c r="P8" s="1">
        <v>1046</v>
      </c>
      <c r="Q8" s="1">
        <v>800</v>
      </c>
      <c r="R8" s="1">
        <v>995</v>
      </c>
      <c r="S8" s="1">
        <v>800</v>
      </c>
      <c r="T8" s="1">
        <v>537</v>
      </c>
      <c r="U8" s="1">
        <v>800</v>
      </c>
      <c r="V8" s="1">
        <v>328</v>
      </c>
      <c r="W8" s="1">
        <v>400</v>
      </c>
      <c r="AL8" s="1">
        <f t="shared" si="5"/>
        <v>3700</v>
      </c>
      <c r="AM8" s="1">
        <f t="shared" si="6"/>
        <v>4400</v>
      </c>
    </row>
    <row r="9" spans="1:39" x14ac:dyDescent="0.35">
      <c r="A9" s="1" t="s">
        <v>4</v>
      </c>
      <c r="B9" s="1">
        <v>61</v>
      </c>
      <c r="C9" s="1">
        <v>100</v>
      </c>
      <c r="D9" s="1">
        <v>102</v>
      </c>
      <c r="I9" s="1">
        <f t="shared" si="1"/>
        <v>0</v>
      </c>
      <c r="J9" s="1">
        <f t="shared" si="2"/>
        <v>0</v>
      </c>
      <c r="K9" s="1">
        <f t="shared" si="3"/>
        <v>0</v>
      </c>
      <c r="L9" s="1">
        <f t="shared" si="4"/>
        <v>0</v>
      </c>
      <c r="M9" s="1">
        <f t="shared" si="0"/>
        <v>102</v>
      </c>
      <c r="N9" s="1">
        <v>1161</v>
      </c>
      <c r="O9" s="1">
        <v>1200</v>
      </c>
      <c r="P9" s="1">
        <v>1362</v>
      </c>
      <c r="Q9" s="1">
        <v>800</v>
      </c>
      <c r="R9" s="1">
        <v>1199</v>
      </c>
      <c r="S9" s="1">
        <v>900</v>
      </c>
      <c r="T9" s="1">
        <v>570</v>
      </c>
      <c r="U9" s="1">
        <v>900</v>
      </c>
      <c r="V9" s="1">
        <v>614</v>
      </c>
      <c r="W9" s="1">
        <v>600</v>
      </c>
      <c r="AL9" s="1">
        <f t="shared" si="5"/>
        <v>4906</v>
      </c>
      <c r="AM9" s="1">
        <f t="shared" si="6"/>
        <v>4400</v>
      </c>
    </row>
    <row r="10" spans="1:39" x14ac:dyDescent="0.35">
      <c r="A10" s="1" t="s">
        <v>5</v>
      </c>
      <c r="B10" s="1">
        <v>95</v>
      </c>
      <c r="C10" s="1">
        <v>500</v>
      </c>
      <c r="D10" s="1">
        <v>565</v>
      </c>
      <c r="I10" s="1">
        <f t="shared" si="1"/>
        <v>0</v>
      </c>
      <c r="J10" s="1">
        <f t="shared" si="2"/>
        <v>0</v>
      </c>
      <c r="K10" s="1">
        <f t="shared" si="3"/>
        <v>0</v>
      </c>
      <c r="L10" s="1">
        <f t="shared" si="4"/>
        <v>0</v>
      </c>
      <c r="M10" s="1">
        <f t="shared" si="0"/>
        <v>565</v>
      </c>
      <c r="N10" s="1">
        <v>1111</v>
      </c>
      <c r="O10" s="1">
        <v>1000</v>
      </c>
      <c r="P10" s="1">
        <v>657</v>
      </c>
      <c r="Q10" s="1">
        <v>1000</v>
      </c>
      <c r="R10" s="1">
        <v>978</v>
      </c>
      <c r="S10" s="1">
        <v>1500</v>
      </c>
      <c r="T10" s="1">
        <v>829</v>
      </c>
      <c r="U10" s="1">
        <v>500</v>
      </c>
      <c r="V10" s="1">
        <v>582</v>
      </c>
      <c r="W10" s="1">
        <v>1000</v>
      </c>
      <c r="AL10" s="1">
        <f t="shared" si="5"/>
        <v>4157</v>
      </c>
      <c r="AM10" s="1">
        <f t="shared" si="6"/>
        <v>5000</v>
      </c>
    </row>
    <row r="11" spans="1:39" x14ac:dyDescent="0.35">
      <c r="A11" s="1" t="s">
        <v>6</v>
      </c>
      <c r="B11" s="1">
        <v>145</v>
      </c>
      <c r="C11" s="1">
        <v>300</v>
      </c>
      <c r="D11" s="1">
        <v>408</v>
      </c>
      <c r="I11" s="1">
        <f t="shared" si="1"/>
        <v>0</v>
      </c>
      <c r="J11" s="1">
        <f t="shared" si="2"/>
        <v>0</v>
      </c>
      <c r="K11" s="1">
        <f t="shared" si="3"/>
        <v>0</v>
      </c>
      <c r="L11" s="1">
        <f t="shared" si="4"/>
        <v>0</v>
      </c>
      <c r="M11" s="1">
        <f t="shared" si="0"/>
        <v>408</v>
      </c>
      <c r="N11" s="1">
        <v>843</v>
      </c>
      <c r="O11" s="1">
        <v>900</v>
      </c>
      <c r="P11" s="1">
        <v>386</v>
      </c>
      <c r="Q11" s="1">
        <v>900</v>
      </c>
      <c r="R11" s="1">
        <v>868</v>
      </c>
      <c r="S11" s="1">
        <v>900</v>
      </c>
      <c r="T11" s="1">
        <v>921</v>
      </c>
      <c r="U11" s="1">
        <v>600</v>
      </c>
      <c r="V11" s="1">
        <v>739</v>
      </c>
      <c r="W11" s="1">
        <v>900</v>
      </c>
      <c r="AL11" s="1">
        <f t="shared" si="5"/>
        <v>3757</v>
      </c>
      <c r="AM11" s="1">
        <f t="shared" si="6"/>
        <v>4200</v>
      </c>
    </row>
    <row r="12" spans="1:39" x14ac:dyDescent="0.35">
      <c r="A12" s="1" t="s">
        <v>7</v>
      </c>
      <c r="B12" s="1">
        <v>40</v>
      </c>
      <c r="C12" s="1">
        <v>500</v>
      </c>
      <c r="D12" s="1">
        <v>243</v>
      </c>
      <c r="I12" s="1">
        <f t="shared" si="1"/>
        <v>0</v>
      </c>
      <c r="J12" s="1">
        <f t="shared" si="2"/>
        <v>0</v>
      </c>
      <c r="K12" s="1">
        <f t="shared" si="3"/>
        <v>0</v>
      </c>
      <c r="L12" s="1">
        <f t="shared" si="4"/>
        <v>0</v>
      </c>
      <c r="M12" s="1">
        <f t="shared" si="0"/>
        <v>243</v>
      </c>
      <c r="N12" s="1">
        <v>1264</v>
      </c>
      <c r="O12" s="1">
        <v>1500</v>
      </c>
      <c r="P12" s="1">
        <v>958</v>
      </c>
      <c r="Q12" s="1">
        <v>500</v>
      </c>
      <c r="R12" s="1">
        <v>826</v>
      </c>
      <c r="S12" s="1">
        <v>1000</v>
      </c>
      <c r="T12" s="1">
        <v>927</v>
      </c>
      <c r="U12" s="1">
        <v>1000</v>
      </c>
      <c r="V12" s="1">
        <v>670</v>
      </c>
      <c r="W12" s="1">
        <v>500</v>
      </c>
      <c r="AL12" s="1">
        <f t="shared" si="5"/>
        <v>4645</v>
      </c>
      <c r="AM12" s="1">
        <f t="shared" si="6"/>
        <v>4500</v>
      </c>
    </row>
    <row r="13" spans="1:39" x14ac:dyDescent="0.35">
      <c r="A13" s="1" t="s">
        <v>8</v>
      </c>
      <c r="B13" s="1">
        <v>111</v>
      </c>
      <c r="C13" s="1">
        <v>500</v>
      </c>
      <c r="D13" s="1">
        <v>549</v>
      </c>
      <c r="I13" s="1">
        <f t="shared" si="1"/>
        <v>0</v>
      </c>
      <c r="J13" s="1">
        <f t="shared" si="2"/>
        <v>0</v>
      </c>
      <c r="K13" s="1">
        <f t="shared" si="3"/>
        <v>0</v>
      </c>
      <c r="L13" s="1">
        <f t="shared" si="4"/>
        <v>0</v>
      </c>
      <c r="M13" s="1">
        <f t="shared" si="0"/>
        <v>549</v>
      </c>
      <c r="N13" s="1">
        <v>1043</v>
      </c>
      <c r="O13" s="1">
        <v>1000</v>
      </c>
      <c r="P13" s="1">
        <v>905</v>
      </c>
      <c r="Q13" s="1">
        <v>1000</v>
      </c>
      <c r="R13" s="1">
        <v>1213</v>
      </c>
      <c r="S13" s="1">
        <v>1500</v>
      </c>
      <c r="T13" s="1">
        <v>903</v>
      </c>
      <c r="U13" s="1">
        <v>1000</v>
      </c>
      <c r="V13" s="1">
        <v>834</v>
      </c>
      <c r="W13" s="1">
        <v>1000</v>
      </c>
      <c r="AL13" s="1">
        <f t="shared" si="5"/>
        <v>4898</v>
      </c>
      <c r="AM13" s="1">
        <f t="shared" si="6"/>
        <v>5500</v>
      </c>
    </row>
    <row r="14" spans="1:39" x14ac:dyDescent="0.35">
      <c r="A14" s="1" t="s">
        <v>9</v>
      </c>
      <c r="B14" s="1">
        <v>120</v>
      </c>
      <c r="C14" s="1">
        <v>500</v>
      </c>
      <c r="D14" s="1">
        <v>383</v>
      </c>
      <c r="I14" s="1">
        <f t="shared" si="1"/>
        <v>0</v>
      </c>
      <c r="J14" s="1">
        <f t="shared" si="2"/>
        <v>0</v>
      </c>
      <c r="K14" s="1">
        <f t="shared" si="3"/>
        <v>0</v>
      </c>
      <c r="L14" s="1">
        <f t="shared" si="4"/>
        <v>0</v>
      </c>
      <c r="M14" s="1">
        <f t="shared" si="0"/>
        <v>383</v>
      </c>
      <c r="N14" s="1">
        <v>933</v>
      </c>
      <c r="O14" s="1">
        <v>1500</v>
      </c>
      <c r="P14" s="1">
        <v>416</v>
      </c>
      <c r="Q14" s="1">
        <v>1000</v>
      </c>
      <c r="R14" s="1">
        <v>838</v>
      </c>
      <c r="S14" s="1">
        <v>1000</v>
      </c>
      <c r="T14" s="1">
        <v>1317</v>
      </c>
      <c r="U14" s="1">
        <v>1500</v>
      </c>
      <c r="V14" s="1">
        <v>505</v>
      </c>
      <c r="W14" s="1">
        <v>500</v>
      </c>
      <c r="AL14" s="1">
        <f t="shared" si="5"/>
        <v>4009</v>
      </c>
      <c r="AM14" s="1">
        <f t="shared" si="6"/>
        <v>5500</v>
      </c>
    </row>
    <row r="15" spans="1:39" x14ac:dyDescent="0.35">
      <c r="A15" s="1" t="s">
        <v>10</v>
      </c>
      <c r="B15" s="1">
        <v>43</v>
      </c>
      <c r="C15" s="1">
        <v>200</v>
      </c>
      <c r="D15" s="1">
        <v>106</v>
      </c>
      <c r="I15" s="1">
        <f t="shared" si="1"/>
        <v>0</v>
      </c>
      <c r="J15" s="1">
        <f t="shared" si="2"/>
        <v>0</v>
      </c>
      <c r="K15" s="1">
        <f t="shared" si="3"/>
        <v>0</v>
      </c>
      <c r="L15" s="1">
        <f t="shared" si="4"/>
        <v>0</v>
      </c>
      <c r="M15" s="1">
        <f t="shared" si="0"/>
        <v>106</v>
      </c>
      <c r="N15" s="1">
        <v>1488</v>
      </c>
      <c r="O15" s="1">
        <v>1000</v>
      </c>
      <c r="P15" s="1">
        <v>990</v>
      </c>
      <c r="Q15" s="1">
        <v>1000</v>
      </c>
      <c r="R15" s="1">
        <v>995</v>
      </c>
      <c r="S15" s="1">
        <v>1200</v>
      </c>
      <c r="T15" s="1">
        <v>660</v>
      </c>
      <c r="U15" s="1">
        <v>1200</v>
      </c>
      <c r="V15" s="1">
        <v>457</v>
      </c>
      <c r="W15" s="1">
        <v>400</v>
      </c>
      <c r="AL15" s="1">
        <f t="shared" si="5"/>
        <v>4590</v>
      </c>
      <c r="AM15" s="1">
        <f t="shared" si="6"/>
        <v>4800</v>
      </c>
    </row>
    <row r="16" spans="1:39" x14ac:dyDescent="0.35">
      <c r="A16" s="1" t="s">
        <v>11</v>
      </c>
      <c r="B16" s="1">
        <v>32</v>
      </c>
      <c r="C16" s="1">
        <v>400</v>
      </c>
      <c r="D16" s="1">
        <v>170</v>
      </c>
      <c r="I16" s="1">
        <f t="shared" si="1"/>
        <v>0</v>
      </c>
      <c r="J16" s="1">
        <f t="shared" si="2"/>
        <v>0</v>
      </c>
      <c r="K16" s="1">
        <f t="shared" si="3"/>
        <v>0</v>
      </c>
      <c r="L16" s="1">
        <f t="shared" si="4"/>
        <v>0</v>
      </c>
      <c r="M16" s="1">
        <f t="shared" si="0"/>
        <v>170</v>
      </c>
      <c r="N16" s="1">
        <v>686</v>
      </c>
      <c r="O16" s="1">
        <v>2000</v>
      </c>
      <c r="P16" s="1">
        <v>630</v>
      </c>
      <c r="Q16" s="1">
        <v>800</v>
      </c>
      <c r="R16" s="1">
        <v>1298</v>
      </c>
      <c r="S16" s="1">
        <v>800</v>
      </c>
      <c r="T16" s="1">
        <v>1397</v>
      </c>
      <c r="U16" s="1">
        <v>1200</v>
      </c>
      <c r="V16" s="1">
        <v>511</v>
      </c>
      <c r="W16" s="1">
        <v>400</v>
      </c>
      <c r="AL16" s="1">
        <f t="shared" si="5"/>
        <v>4522</v>
      </c>
      <c r="AM16" s="1">
        <f t="shared" si="6"/>
        <v>5200</v>
      </c>
    </row>
    <row r="17" spans="1:39" x14ac:dyDescent="0.35">
      <c r="A17" s="1" t="s">
        <v>12</v>
      </c>
      <c r="B17" s="1">
        <v>109</v>
      </c>
      <c r="C17" s="1">
        <v>500</v>
      </c>
      <c r="D17" s="1">
        <v>476</v>
      </c>
      <c r="I17" s="1">
        <f t="shared" si="1"/>
        <v>0</v>
      </c>
      <c r="J17" s="1">
        <f t="shared" si="2"/>
        <v>0</v>
      </c>
      <c r="K17" s="1">
        <f t="shared" si="3"/>
        <v>0</v>
      </c>
      <c r="L17" s="1">
        <f t="shared" si="4"/>
        <v>0</v>
      </c>
      <c r="M17" s="1">
        <f t="shared" si="0"/>
        <v>476</v>
      </c>
      <c r="N17" s="1">
        <v>1205</v>
      </c>
      <c r="O17" s="1">
        <v>1500</v>
      </c>
      <c r="P17" s="1">
        <v>853</v>
      </c>
      <c r="Q17" s="1">
        <v>1000</v>
      </c>
      <c r="R17" s="1">
        <v>1242</v>
      </c>
      <c r="S17" s="1">
        <v>1000</v>
      </c>
      <c r="T17" s="1">
        <v>1180</v>
      </c>
      <c r="U17" s="1">
        <v>1000</v>
      </c>
      <c r="V17" s="1">
        <v>628</v>
      </c>
      <c r="W17" s="1">
        <v>500</v>
      </c>
      <c r="AL17" s="1">
        <f t="shared" si="5"/>
        <v>5108</v>
      </c>
      <c r="AM17" s="1">
        <f t="shared" si="6"/>
        <v>5000</v>
      </c>
    </row>
    <row r="18" spans="1:39" x14ac:dyDescent="0.35">
      <c r="A18" s="1" t="s">
        <v>13</v>
      </c>
      <c r="B18" s="1">
        <v>132</v>
      </c>
      <c r="C18" s="1">
        <v>100</v>
      </c>
      <c r="D18" s="1">
        <v>221</v>
      </c>
      <c r="I18" s="1">
        <f t="shared" si="1"/>
        <v>0</v>
      </c>
      <c r="J18" s="1">
        <f t="shared" si="2"/>
        <v>0</v>
      </c>
      <c r="K18" s="1">
        <f t="shared" si="3"/>
        <v>0</v>
      </c>
      <c r="L18" s="1">
        <f t="shared" si="4"/>
        <v>0</v>
      </c>
      <c r="M18" s="1">
        <f t="shared" si="0"/>
        <v>221</v>
      </c>
      <c r="N18" s="1">
        <v>898</v>
      </c>
      <c r="O18" s="1">
        <v>1600</v>
      </c>
      <c r="P18" s="1">
        <v>1083</v>
      </c>
      <c r="Q18" s="1">
        <v>900</v>
      </c>
      <c r="R18" s="1">
        <v>917</v>
      </c>
      <c r="S18" s="1">
        <v>1000</v>
      </c>
      <c r="T18" s="1">
        <v>1489</v>
      </c>
      <c r="U18" s="1">
        <v>1300</v>
      </c>
      <c r="V18" s="1">
        <v>546</v>
      </c>
      <c r="W18" s="1">
        <v>600</v>
      </c>
      <c r="AL18" s="1">
        <f t="shared" si="5"/>
        <v>4933</v>
      </c>
      <c r="AM18" s="1">
        <f t="shared" si="6"/>
        <v>5400</v>
      </c>
    </row>
    <row r="19" spans="1:39" x14ac:dyDescent="0.35">
      <c r="A19" s="1" t="s">
        <v>14</v>
      </c>
      <c r="B19" s="1">
        <v>45</v>
      </c>
      <c r="C19" s="1">
        <v>300</v>
      </c>
      <c r="D19" s="1">
        <v>78</v>
      </c>
      <c r="I19" s="1">
        <f t="shared" si="1"/>
        <v>0</v>
      </c>
      <c r="J19" s="1">
        <f t="shared" si="2"/>
        <v>0</v>
      </c>
      <c r="K19" s="1">
        <f t="shared" si="3"/>
        <v>0</v>
      </c>
      <c r="L19" s="1">
        <f t="shared" si="4"/>
        <v>0</v>
      </c>
      <c r="M19" s="1">
        <f t="shared" si="0"/>
        <v>78</v>
      </c>
      <c r="N19" s="1">
        <v>879</v>
      </c>
      <c r="O19" s="1">
        <v>900</v>
      </c>
      <c r="P19" s="1">
        <v>957</v>
      </c>
      <c r="Q19" s="1">
        <v>1200</v>
      </c>
      <c r="R19" s="1">
        <v>745</v>
      </c>
      <c r="S19" s="1">
        <v>1200</v>
      </c>
      <c r="T19" s="1">
        <v>970</v>
      </c>
      <c r="U19" s="1">
        <v>1800</v>
      </c>
      <c r="V19" s="1">
        <v>595</v>
      </c>
      <c r="W19" s="1">
        <v>600</v>
      </c>
      <c r="AL19" s="1">
        <f t="shared" si="5"/>
        <v>4146</v>
      </c>
      <c r="AM19" s="1">
        <f t="shared" si="6"/>
        <v>5700</v>
      </c>
    </row>
    <row r="20" spans="1:39" x14ac:dyDescent="0.35">
      <c r="A20" s="1" t="s">
        <v>15</v>
      </c>
      <c r="B20" s="1">
        <v>143</v>
      </c>
      <c r="C20" s="1">
        <v>500</v>
      </c>
      <c r="D20" s="1">
        <v>475</v>
      </c>
      <c r="I20" s="1">
        <f t="shared" si="1"/>
        <v>0</v>
      </c>
      <c r="J20" s="1">
        <f t="shared" si="2"/>
        <v>0</v>
      </c>
      <c r="K20" s="1">
        <f t="shared" si="3"/>
        <v>0</v>
      </c>
      <c r="L20" s="1">
        <f t="shared" si="4"/>
        <v>0</v>
      </c>
      <c r="M20" s="1">
        <f t="shared" si="0"/>
        <v>475</v>
      </c>
      <c r="N20" s="1">
        <v>926</v>
      </c>
      <c r="O20" s="1">
        <v>1000</v>
      </c>
      <c r="P20" s="1">
        <v>1264</v>
      </c>
      <c r="Q20" s="1">
        <v>500</v>
      </c>
      <c r="R20" s="1">
        <v>593</v>
      </c>
      <c r="S20" s="1">
        <v>1000</v>
      </c>
      <c r="T20" s="1">
        <v>848</v>
      </c>
      <c r="U20" s="1">
        <v>1000</v>
      </c>
      <c r="V20" s="1">
        <v>800</v>
      </c>
      <c r="W20" s="1">
        <v>1000</v>
      </c>
      <c r="AL20" s="1">
        <f t="shared" si="5"/>
        <v>4431</v>
      </c>
      <c r="AM20" s="1">
        <f t="shared" si="6"/>
        <v>4500</v>
      </c>
    </row>
    <row r="21" spans="1:39" x14ac:dyDescent="0.35">
      <c r="A21" s="1" t="s">
        <v>16</v>
      </c>
      <c r="B21" s="1">
        <v>93</v>
      </c>
      <c r="C21" s="1">
        <v>300</v>
      </c>
      <c r="D21" s="1">
        <v>377</v>
      </c>
      <c r="I21" s="1">
        <f t="shared" si="1"/>
        <v>0</v>
      </c>
      <c r="J21" s="1">
        <f t="shared" si="2"/>
        <v>0</v>
      </c>
      <c r="K21" s="1">
        <f t="shared" si="3"/>
        <v>0</v>
      </c>
      <c r="L21" s="1">
        <f t="shared" si="4"/>
        <v>0</v>
      </c>
      <c r="M21" s="1">
        <f t="shared" si="0"/>
        <v>377</v>
      </c>
      <c r="N21" s="1">
        <v>596</v>
      </c>
      <c r="O21" s="1">
        <v>1500</v>
      </c>
      <c r="P21" s="1">
        <v>918</v>
      </c>
      <c r="Q21" s="1">
        <v>1500</v>
      </c>
      <c r="R21" s="1">
        <v>1493</v>
      </c>
      <c r="S21" s="1">
        <v>900</v>
      </c>
      <c r="T21" s="1">
        <v>915</v>
      </c>
      <c r="U21" s="1">
        <v>1200</v>
      </c>
      <c r="V21" s="1">
        <v>440</v>
      </c>
      <c r="W21" s="1">
        <v>600</v>
      </c>
      <c r="AL21" s="1">
        <f t="shared" si="5"/>
        <v>4362</v>
      </c>
      <c r="AM21" s="1">
        <f t="shared" si="6"/>
        <v>5700</v>
      </c>
    </row>
    <row r="22" spans="1:39" x14ac:dyDescent="0.35">
      <c r="A22" s="1" t="s">
        <v>17</v>
      </c>
      <c r="B22" s="1">
        <v>71</v>
      </c>
      <c r="C22" s="1">
        <v>100</v>
      </c>
      <c r="D22" s="1">
        <v>97</v>
      </c>
      <c r="I22" s="1">
        <f t="shared" si="1"/>
        <v>0</v>
      </c>
      <c r="J22" s="1">
        <f t="shared" si="2"/>
        <v>0</v>
      </c>
      <c r="K22" s="1">
        <f t="shared" si="3"/>
        <v>0</v>
      </c>
      <c r="L22" s="1">
        <f t="shared" si="4"/>
        <v>0</v>
      </c>
      <c r="M22" s="1">
        <f t="shared" si="0"/>
        <v>97</v>
      </c>
      <c r="N22" s="1">
        <v>982</v>
      </c>
      <c r="O22" s="1">
        <v>1300</v>
      </c>
      <c r="P22" s="1">
        <v>940</v>
      </c>
      <c r="Q22" s="1">
        <v>900</v>
      </c>
      <c r="R22" s="1">
        <v>1631</v>
      </c>
      <c r="S22" s="1">
        <v>800</v>
      </c>
      <c r="T22" s="1">
        <v>692</v>
      </c>
      <c r="U22" s="1">
        <v>900</v>
      </c>
      <c r="V22" s="1">
        <v>639</v>
      </c>
      <c r="W22" s="1">
        <v>600</v>
      </c>
      <c r="AL22" s="1">
        <f t="shared" si="5"/>
        <v>4884</v>
      </c>
      <c r="AM22" s="1">
        <f t="shared" si="6"/>
        <v>4500</v>
      </c>
    </row>
    <row r="23" spans="1:39" x14ac:dyDescent="0.35">
      <c r="A23" s="1" t="s">
        <v>18</v>
      </c>
      <c r="B23" s="1">
        <v>76</v>
      </c>
      <c r="C23" s="1">
        <v>100</v>
      </c>
      <c r="D23" s="1">
        <v>133</v>
      </c>
      <c r="I23" s="1">
        <f t="shared" si="1"/>
        <v>0</v>
      </c>
      <c r="J23" s="1">
        <f t="shared" si="2"/>
        <v>0</v>
      </c>
      <c r="K23" s="1">
        <f t="shared" si="3"/>
        <v>0</v>
      </c>
      <c r="L23" s="1">
        <f t="shared" si="4"/>
        <v>0</v>
      </c>
      <c r="M23" s="1">
        <f t="shared" si="0"/>
        <v>133</v>
      </c>
      <c r="N23" s="1">
        <v>1420</v>
      </c>
      <c r="O23" s="1">
        <v>900</v>
      </c>
      <c r="P23" s="1">
        <v>462</v>
      </c>
      <c r="Q23" s="1">
        <v>1200</v>
      </c>
      <c r="R23" s="1">
        <v>759</v>
      </c>
      <c r="S23" s="1">
        <v>1100</v>
      </c>
      <c r="T23" s="1">
        <v>713</v>
      </c>
      <c r="U23" s="1">
        <v>1000</v>
      </c>
      <c r="V23" s="1">
        <v>662</v>
      </c>
      <c r="W23" s="1">
        <v>700</v>
      </c>
      <c r="AL23" s="1">
        <f t="shared" si="5"/>
        <v>4016</v>
      </c>
      <c r="AM23" s="1">
        <f t="shared" si="6"/>
        <v>4900</v>
      </c>
    </row>
    <row r="24" spans="1:39" x14ac:dyDescent="0.35">
      <c r="A24" s="1" t="s">
        <v>19</v>
      </c>
      <c r="B24" s="1">
        <v>41</v>
      </c>
      <c r="C24" s="1">
        <v>500</v>
      </c>
      <c r="D24" s="1">
        <v>122</v>
      </c>
      <c r="I24" s="1">
        <f t="shared" si="1"/>
        <v>0</v>
      </c>
      <c r="J24" s="1">
        <f t="shared" si="2"/>
        <v>0</v>
      </c>
      <c r="K24" s="1">
        <f t="shared" si="3"/>
        <v>0</v>
      </c>
      <c r="L24" s="1">
        <f t="shared" si="4"/>
        <v>0</v>
      </c>
      <c r="M24" s="1">
        <f t="shared" si="0"/>
        <v>122</v>
      </c>
      <c r="N24" s="1">
        <v>793</v>
      </c>
      <c r="O24" s="1">
        <v>1000</v>
      </c>
      <c r="P24" s="1">
        <v>1375</v>
      </c>
      <c r="Q24" s="1">
        <v>1000</v>
      </c>
      <c r="R24" s="1">
        <v>929</v>
      </c>
      <c r="S24" s="1">
        <v>500</v>
      </c>
      <c r="T24" s="1">
        <v>1298</v>
      </c>
      <c r="U24" s="1">
        <v>500</v>
      </c>
      <c r="V24" s="1">
        <v>530</v>
      </c>
      <c r="W24" s="1">
        <v>500</v>
      </c>
      <c r="AL24" s="1">
        <f t="shared" si="5"/>
        <v>4925</v>
      </c>
      <c r="AM24" s="1">
        <f t="shared" si="6"/>
        <v>3500</v>
      </c>
    </row>
    <row r="25" spans="1:39" x14ac:dyDescent="0.35">
      <c r="A25" s="1" t="s">
        <v>20</v>
      </c>
      <c r="B25" s="1">
        <v>15</v>
      </c>
      <c r="C25" s="1">
        <v>100</v>
      </c>
      <c r="D25" s="1">
        <v>42</v>
      </c>
      <c r="I25" s="1">
        <f t="shared" si="1"/>
        <v>0</v>
      </c>
      <c r="J25" s="1">
        <f t="shared" si="2"/>
        <v>0</v>
      </c>
      <c r="K25" s="1">
        <f t="shared" si="3"/>
        <v>0</v>
      </c>
      <c r="L25" s="1">
        <f t="shared" si="4"/>
        <v>0</v>
      </c>
      <c r="M25" s="1">
        <f t="shared" si="0"/>
        <v>42</v>
      </c>
      <c r="N25" s="1">
        <v>914</v>
      </c>
      <c r="O25" s="1">
        <v>1700</v>
      </c>
      <c r="P25" s="1">
        <v>963</v>
      </c>
      <c r="Q25" s="1">
        <v>1000</v>
      </c>
      <c r="R25" s="1">
        <v>1298</v>
      </c>
      <c r="S25" s="1">
        <v>800</v>
      </c>
      <c r="T25" s="1">
        <v>1002</v>
      </c>
      <c r="U25" s="1">
        <v>1300</v>
      </c>
      <c r="V25" s="1">
        <v>798</v>
      </c>
      <c r="W25" s="1">
        <v>800</v>
      </c>
      <c r="AL25" s="1">
        <f t="shared" si="5"/>
        <v>4975</v>
      </c>
      <c r="AM25" s="1">
        <f t="shared" si="6"/>
        <v>5600</v>
      </c>
    </row>
    <row r="26" spans="1:39" x14ac:dyDescent="0.35">
      <c r="A26" s="1" t="s">
        <v>21</v>
      </c>
      <c r="B26" s="1">
        <v>92</v>
      </c>
      <c r="C26" s="1">
        <v>400</v>
      </c>
      <c r="D26" s="1">
        <v>287</v>
      </c>
      <c r="I26" s="1">
        <f t="shared" si="1"/>
        <v>0</v>
      </c>
      <c r="J26" s="1">
        <f t="shared" si="2"/>
        <v>0</v>
      </c>
      <c r="K26" s="1">
        <f t="shared" si="3"/>
        <v>0</v>
      </c>
      <c r="L26" s="1">
        <f t="shared" si="4"/>
        <v>0</v>
      </c>
      <c r="M26" s="1">
        <f t="shared" si="0"/>
        <v>287</v>
      </c>
      <c r="N26" s="1">
        <v>964</v>
      </c>
      <c r="O26" s="1">
        <v>1200</v>
      </c>
      <c r="P26" s="1">
        <v>815</v>
      </c>
      <c r="Q26" s="1">
        <v>800</v>
      </c>
      <c r="R26" s="1">
        <v>811</v>
      </c>
      <c r="S26" s="1">
        <v>1200</v>
      </c>
      <c r="T26" s="1">
        <v>1014</v>
      </c>
      <c r="U26" s="1">
        <v>800</v>
      </c>
      <c r="V26" s="1">
        <v>423</v>
      </c>
      <c r="W26" s="1">
        <v>400</v>
      </c>
      <c r="AL26" s="1">
        <f t="shared" si="5"/>
        <v>4027</v>
      </c>
      <c r="AM26" s="1">
        <f t="shared" si="6"/>
        <v>4400</v>
      </c>
    </row>
    <row r="27" spans="1:39" x14ac:dyDescent="0.35">
      <c r="A27" s="1" t="s">
        <v>22</v>
      </c>
      <c r="B27" s="1">
        <v>141</v>
      </c>
      <c r="C27" s="1">
        <v>400</v>
      </c>
      <c r="D27" s="1">
        <v>320</v>
      </c>
      <c r="I27" s="1">
        <f t="shared" si="1"/>
        <v>0</v>
      </c>
      <c r="J27" s="1">
        <f t="shared" si="2"/>
        <v>0</v>
      </c>
      <c r="K27" s="1">
        <f t="shared" si="3"/>
        <v>0</v>
      </c>
      <c r="L27" s="1">
        <f t="shared" si="4"/>
        <v>0</v>
      </c>
      <c r="M27" s="1">
        <f t="shared" si="0"/>
        <v>320</v>
      </c>
      <c r="N27" s="1">
        <v>857</v>
      </c>
      <c r="O27" s="1">
        <v>1200</v>
      </c>
      <c r="P27" s="1">
        <v>1176</v>
      </c>
      <c r="Q27" s="1">
        <v>800</v>
      </c>
      <c r="R27" s="1">
        <v>1332</v>
      </c>
      <c r="S27" s="1">
        <v>800</v>
      </c>
      <c r="T27" s="1">
        <v>1361</v>
      </c>
      <c r="U27" s="1">
        <v>1200</v>
      </c>
      <c r="V27" s="1">
        <v>311</v>
      </c>
      <c r="W27" s="1">
        <v>400</v>
      </c>
      <c r="AL27" s="1">
        <f t="shared" si="5"/>
        <v>5037</v>
      </c>
      <c r="AM27" s="1">
        <f t="shared" si="6"/>
        <v>4400</v>
      </c>
    </row>
    <row r="28" spans="1:39" x14ac:dyDescent="0.35">
      <c r="A28" s="1" t="s">
        <v>23</v>
      </c>
      <c r="B28" s="1">
        <v>45</v>
      </c>
      <c r="C28" s="1">
        <v>100</v>
      </c>
      <c r="D28" s="1">
        <v>48</v>
      </c>
      <c r="I28" s="1">
        <f t="shared" si="1"/>
        <v>0</v>
      </c>
      <c r="J28" s="1">
        <f t="shared" si="2"/>
        <v>0</v>
      </c>
      <c r="K28" s="1">
        <f t="shared" si="3"/>
        <v>0</v>
      </c>
      <c r="L28" s="1">
        <f t="shared" si="4"/>
        <v>0</v>
      </c>
      <c r="M28" s="1">
        <f t="shared" si="0"/>
        <v>48</v>
      </c>
      <c r="N28" s="1">
        <v>1031</v>
      </c>
      <c r="O28" s="1">
        <v>500</v>
      </c>
      <c r="P28" s="1">
        <v>677</v>
      </c>
      <c r="Q28" s="1">
        <v>700</v>
      </c>
      <c r="R28" s="1">
        <v>1404</v>
      </c>
      <c r="S28" s="1">
        <v>1500</v>
      </c>
      <c r="T28" s="1">
        <v>720</v>
      </c>
      <c r="U28" s="1">
        <v>400</v>
      </c>
      <c r="V28" s="1">
        <v>653</v>
      </c>
      <c r="W28" s="1">
        <v>600</v>
      </c>
      <c r="AL28" s="1">
        <f t="shared" si="5"/>
        <v>4485</v>
      </c>
      <c r="AM28" s="1">
        <f t="shared" si="6"/>
        <v>3700</v>
      </c>
    </row>
    <row r="29" spans="1:39" x14ac:dyDescent="0.35">
      <c r="A29" s="1" t="s">
        <v>24</v>
      </c>
      <c r="B29" s="1">
        <v>128</v>
      </c>
      <c r="C29" s="1">
        <v>300</v>
      </c>
      <c r="D29" s="1">
        <v>306</v>
      </c>
      <c r="I29" s="1">
        <f t="shared" si="1"/>
        <v>0</v>
      </c>
      <c r="J29" s="1">
        <f t="shared" si="2"/>
        <v>0</v>
      </c>
      <c r="K29" s="1">
        <f t="shared" si="3"/>
        <v>0</v>
      </c>
      <c r="L29" s="1">
        <f t="shared" si="4"/>
        <v>0</v>
      </c>
      <c r="M29" s="1">
        <f t="shared" si="0"/>
        <v>306</v>
      </c>
      <c r="N29" s="1">
        <v>220</v>
      </c>
      <c r="O29" s="1">
        <v>1500</v>
      </c>
      <c r="P29" s="1">
        <v>1237</v>
      </c>
      <c r="Q29" s="1">
        <v>1500</v>
      </c>
      <c r="R29" s="1">
        <v>751</v>
      </c>
      <c r="S29" s="1">
        <v>300</v>
      </c>
      <c r="T29" s="1">
        <v>1454</v>
      </c>
      <c r="U29" s="1">
        <v>1200</v>
      </c>
      <c r="V29" s="1">
        <v>711</v>
      </c>
      <c r="W29" s="1">
        <v>600</v>
      </c>
      <c r="AL29" s="1">
        <f t="shared" si="5"/>
        <v>4373</v>
      </c>
      <c r="AM29" s="1">
        <f t="shared" si="6"/>
        <v>5100</v>
      </c>
    </row>
    <row r="30" spans="1:39" x14ac:dyDescent="0.35">
      <c r="A30" s="1" t="s">
        <v>25</v>
      </c>
      <c r="B30" s="1">
        <v>74</v>
      </c>
      <c r="C30" s="1">
        <v>200</v>
      </c>
      <c r="D30" s="1">
        <v>90</v>
      </c>
      <c r="I30" s="1">
        <f t="shared" si="1"/>
        <v>0</v>
      </c>
      <c r="J30" s="1">
        <f t="shared" si="2"/>
        <v>0</v>
      </c>
      <c r="K30" s="1">
        <f t="shared" si="3"/>
        <v>0</v>
      </c>
      <c r="L30" s="1">
        <f t="shared" si="4"/>
        <v>0</v>
      </c>
      <c r="M30" s="1">
        <f t="shared" si="0"/>
        <v>90</v>
      </c>
      <c r="N30" s="1">
        <v>1149</v>
      </c>
      <c r="O30" s="1">
        <v>1200</v>
      </c>
      <c r="P30" s="1">
        <v>674</v>
      </c>
      <c r="Q30" s="1">
        <v>1000</v>
      </c>
      <c r="R30" s="1">
        <v>769</v>
      </c>
      <c r="S30" s="1">
        <v>1400</v>
      </c>
      <c r="T30" s="1">
        <v>835</v>
      </c>
      <c r="U30" s="1">
        <v>1000</v>
      </c>
      <c r="V30" s="1">
        <v>980</v>
      </c>
      <c r="W30" s="1">
        <v>800</v>
      </c>
      <c r="AL30" s="1">
        <f t="shared" si="5"/>
        <v>4407</v>
      </c>
      <c r="AM30" s="1">
        <f t="shared" si="6"/>
        <v>5400</v>
      </c>
    </row>
    <row r="31" spans="1:39" x14ac:dyDescent="0.35">
      <c r="A31" s="1" t="s">
        <v>26</v>
      </c>
      <c r="B31" s="1">
        <v>21</v>
      </c>
      <c r="C31" s="1">
        <v>200</v>
      </c>
      <c r="D31" s="1">
        <v>158</v>
      </c>
      <c r="I31" s="1">
        <f t="shared" si="1"/>
        <v>0</v>
      </c>
      <c r="J31" s="1">
        <f t="shared" si="2"/>
        <v>0</v>
      </c>
      <c r="K31" s="1">
        <f t="shared" si="3"/>
        <v>0</v>
      </c>
      <c r="L31" s="1">
        <f t="shared" si="4"/>
        <v>0</v>
      </c>
      <c r="M31" s="1">
        <f t="shared" si="0"/>
        <v>158</v>
      </c>
      <c r="N31" s="1">
        <v>1055</v>
      </c>
      <c r="O31" s="1">
        <v>800</v>
      </c>
      <c r="P31" s="1">
        <v>1031</v>
      </c>
      <c r="Q31" s="1">
        <v>600</v>
      </c>
      <c r="R31" s="1">
        <v>799</v>
      </c>
      <c r="S31" s="1">
        <v>1000</v>
      </c>
      <c r="T31" s="1">
        <v>1087</v>
      </c>
      <c r="U31" s="1">
        <v>1200</v>
      </c>
      <c r="V31" s="1">
        <v>583</v>
      </c>
      <c r="W31" s="1">
        <v>600</v>
      </c>
      <c r="AL31" s="1">
        <f t="shared" si="5"/>
        <v>4555</v>
      </c>
      <c r="AM31" s="1">
        <f t="shared" si="6"/>
        <v>4200</v>
      </c>
    </row>
    <row r="32" spans="1:39" x14ac:dyDescent="0.35">
      <c r="A32" s="1" t="s">
        <v>27</v>
      </c>
      <c r="B32" s="1">
        <v>20</v>
      </c>
      <c r="C32" s="1">
        <v>100</v>
      </c>
      <c r="D32" s="1">
        <v>25</v>
      </c>
      <c r="I32" s="1">
        <f t="shared" si="1"/>
        <v>0</v>
      </c>
      <c r="J32" s="1">
        <f t="shared" si="2"/>
        <v>0</v>
      </c>
      <c r="K32" s="1">
        <f t="shared" si="3"/>
        <v>0</v>
      </c>
      <c r="L32" s="1">
        <f t="shared" si="4"/>
        <v>0</v>
      </c>
      <c r="M32" s="1">
        <f t="shared" si="0"/>
        <v>25</v>
      </c>
      <c r="N32" s="1">
        <v>1213</v>
      </c>
      <c r="O32" s="1">
        <v>1200</v>
      </c>
      <c r="P32" s="1">
        <v>1614</v>
      </c>
      <c r="Q32" s="1">
        <v>400</v>
      </c>
      <c r="R32" s="1">
        <v>680</v>
      </c>
      <c r="S32" s="1">
        <v>800</v>
      </c>
      <c r="T32" s="1">
        <v>971</v>
      </c>
      <c r="U32" s="1">
        <v>1100</v>
      </c>
      <c r="V32" s="1">
        <v>438</v>
      </c>
      <c r="W32" s="1">
        <v>400</v>
      </c>
      <c r="AL32" s="1">
        <f t="shared" si="5"/>
        <v>4916</v>
      </c>
      <c r="AM32" s="1">
        <f t="shared" si="6"/>
        <v>3900</v>
      </c>
    </row>
    <row r="33" spans="1:39" x14ac:dyDescent="0.35">
      <c r="A33" s="1" t="s">
        <v>28</v>
      </c>
      <c r="B33" s="1">
        <v>82</v>
      </c>
      <c r="C33" s="1">
        <v>100</v>
      </c>
      <c r="D33" s="1">
        <v>130</v>
      </c>
      <c r="I33" s="1">
        <f t="shared" si="1"/>
        <v>0</v>
      </c>
      <c r="J33" s="1">
        <f t="shared" si="2"/>
        <v>0</v>
      </c>
      <c r="K33" s="1">
        <f t="shared" si="3"/>
        <v>0</v>
      </c>
      <c r="L33" s="1">
        <f t="shared" si="4"/>
        <v>0</v>
      </c>
      <c r="M33" s="1">
        <f t="shared" si="0"/>
        <v>130</v>
      </c>
      <c r="N33" s="1">
        <v>707</v>
      </c>
      <c r="O33" s="1">
        <v>1000</v>
      </c>
      <c r="P33" s="1">
        <v>1137</v>
      </c>
      <c r="Q33" s="1">
        <v>1000</v>
      </c>
      <c r="R33" s="1">
        <v>1438</v>
      </c>
      <c r="S33" s="1">
        <v>1000</v>
      </c>
      <c r="T33" s="1">
        <v>1188</v>
      </c>
      <c r="U33" s="1">
        <v>1100</v>
      </c>
      <c r="V33" s="1">
        <v>365</v>
      </c>
      <c r="W33" s="1">
        <v>400</v>
      </c>
      <c r="AL33" s="1">
        <f t="shared" si="5"/>
        <v>4835</v>
      </c>
      <c r="AM33" s="1">
        <f t="shared" si="6"/>
        <v>4500</v>
      </c>
    </row>
    <row r="34" spans="1:39" x14ac:dyDescent="0.35">
      <c r="A34" s="1" t="s">
        <v>29</v>
      </c>
      <c r="B34" s="1">
        <v>75</v>
      </c>
      <c r="C34" s="1">
        <v>400</v>
      </c>
      <c r="D34" s="1">
        <v>168</v>
      </c>
      <c r="I34" s="1">
        <f t="shared" si="1"/>
        <v>0</v>
      </c>
      <c r="J34" s="1">
        <f t="shared" si="2"/>
        <v>0</v>
      </c>
      <c r="K34" s="1">
        <f t="shared" si="3"/>
        <v>0</v>
      </c>
      <c r="L34" s="1">
        <f t="shared" si="4"/>
        <v>0</v>
      </c>
      <c r="M34" s="1">
        <f t="shared" si="0"/>
        <v>168</v>
      </c>
      <c r="N34" s="1">
        <v>909</v>
      </c>
      <c r="O34" s="1">
        <v>1200</v>
      </c>
      <c r="P34" s="1">
        <v>339</v>
      </c>
      <c r="Q34" s="1">
        <v>1200</v>
      </c>
      <c r="R34" s="1">
        <v>1164</v>
      </c>
      <c r="S34" s="1">
        <v>800</v>
      </c>
      <c r="T34" s="1">
        <v>808</v>
      </c>
      <c r="U34" s="1">
        <v>1600</v>
      </c>
      <c r="V34" s="1">
        <v>579</v>
      </c>
      <c r="W34" s="1">
        <v>400</v>
      </c>
      <c r="AL34" s="1">
        <f t="shared" si="5"/>
        <v>3799</v>
      </c>
      <c r="AM34" s="1">
        <f t="shared" si="6"/>
        <v>5200</v>
      </c>
    </row>
    <row r="35" spans="1:39" x14ac:dyDescent="0.35">
      <c r="A35" s="1" t="s">
        <v>30</v>
      </c>
      <c r="B35" s="1">
        <v>68</v>
      </c>
      <c r="C35" s="1">
        <v>400</v>
      </c>
      <c r="D35" s="1">
        <v>292</v>
      </c>
      <c r="I35" s="1">
        <f t="shared" si="1"/>
        <v>0</v>
      </c>
      <c r="J35" s="1">
        <f t="shared" si="2"/>
        <v>0</v>
      </c>
      <c r="K35" s="1">
        <f t="shared" si="3"/>
        <v>0</v>
      </c>
      <c r="L35" s="1">
        <f t="shared" si="4"/>
        <v>0</v>
      </c>
      <c r="M35" s="1">
        <f t="shared" si="0"/>
        <v>292</v>
      </c>
      <c r="N35" s="1">
        <v>844</v>
      </c>
      <c r="O35" s="1">
        <v>1200</v>
      </c>
      <c r="P35" s="1">
        <v>1566</v>
      </c>
      <c r="Q35" s="1">
        <v>800</v>
      </c>
      <c r="R35" s="1">
        <v>1508</v>
      </c>
      <c r="S35" s="1">
        <v>1200</v>
      </c>
      <c r="T35" s="1">
        <v>633</v>
      </c>
      <c r="U35" s="1">
        <v>800</v>
      </c>
      <c r="V35" s="1">
        <v>617</v>
      </c>
      <c r="W35" s="1">
        <v>800</v>
      </c>
      <c r="AL35" s="1">
        <f t="shared" si="5"/>
        <v>5168</v>
      </c>
      <c r="AM35" s="1">
        <f t="shared" si="6"/>
        <v>4800</v>
      </c>
    </row>
    <row r="36" spans="1:39" x14ac:dyDescent="0.35">
      <c r="A36" s="1" t="s">
        <v>31</v>
      </c>
      <c r="B36" s="1">
        <v>11</v>
      </c>
      <c r="C36" s="1">
        <v>400</v>
      </c>
      <c r="D36" s="1">
        <v>25</v>
      </c>
      <c r="I36" s="1">
        <f t="shared" si="1"/>
        <v>0</v>
      </c>
      <c r="J36" s="1">
        <f t="shared" si="2"/>
        <v>0</v>
      </c>
      <c r="K36" s="1">
        <f t="shared" si="3"/>
        <v>0</v>
      </c>
      <c r="L36" s="1">
        <f t="shared" si="4"/>
        <v>0</v>
      </c>
      <c r="M36" s="1">
        <f t="shared" si="0"/>
        <v>25</v>
      </c>
      <c r="N36" s="1">
        <v>1032</v>
      </c>
      <c r="O36" s="1">
        <v>1200</v>
      </c>
      <c r="P36" s="1">
        <v>898</v>
      </c>
      <c r="Q36" s="1">
        <v>1200</v>
      </c>
      <c r="R36" s="1">
        <v>222</v>
      </c>
      <c r="S36" s="1">
        <v>1200</v>
      </c>
      <c r="T36" s="1">
        <v>1098</v>
      </c>
      <c r="U36" s="1">
        <v>1200</v>
      </c>
      <c r="V36" s="1">
        <v>443</v>
      </c>
      <c r="W36" s="1">
        <v>400</v>
      </c>
      <c r="AL36" s="1">
        <f t="shared" si="5"/>
        <v>3693</v>
      </c>
      <c r="AM36" s="1">
        <f t="shared" si="6"/>
        <v>5200</v>
      </c>
    </row>
    <row r="37" spans="1:39" x14ac:dyDescent="0.35">
      <c r="A37" s="1" t="s">
        <v>32</v>
      </c>
      <c r="B37" s="1">
        <v>124</v>
      </c>
      <c r="C37" s="1">
        <v>300</v>
      </c>
      <c r="D37" s="1">
        <v>398</v>
      </c>
      <c r="I37" s="1">
        <f t="shared" si="1"/>
        <v>0</v>
      </c>
      <c r="J37" s="1">
        <f t="shared" si="2"/>
        <v>0</v>
      </c>
      <c r="K37" s="1">
        <f t="shared" si="3"/>
        <v>0</v>
      </c>
      <c r="L37" s="1">
        <f t="shared" si="4"/>
        <v>0</v>
      </c>
      <c r="M37" s="1">
        <f t="shared" si="0"/>
        <v>398</v>
      </c>
      <c r="N37" s="1">
        <v>1116</v>
      </c>
      <c r="O37" s="1">
        <v>1500</v>
      </c>
      <c r="P37" s="1">
        <v>686</v>
      </c>
      <c r="Q37" s="1">
        <v>1200</v>
      </c>
      <c r="R37" s="1">
        <v>815</v>
      </c>
      <c r="S37" s="1">
        <v>300</v>
      </c>
      <c r="T37" s="1">
        <v>701</v>
      </c>
      <c r="U37" s="1">
        <v>900</v>
      </c>
      <c r="V37" s="1">
        <v>696</v>
      </c>
      <c r="W37" s="1">
        <v>900</v>
      </c>
      <c r="AL37" s="1">
        <f t="shared" si="5"/>
        <v>4014</v>
      </c>
      <c r="AM37" s="1">
        <f t="shared" si="6"/>
        <v>4800</v>
      </c>
    </row>
    <row r="38" spans="1:39" x14ac:dyDescent="0.35">
      <c r="A38" s="1" t="s">
        <v>33</v>
      </c>
      <c r="B38" s="1">
        <v>15</v>
      </c>
      <c r="C38" s="1">
        <v>300</v>
      </c>
      <c r="D38" s="1">
        <v>61</v>
      </c>
      <c r="I38" s="1">
        <f t="shared" si="1"/>
        <v>0</v>
      </c>
      <c r="J38" s="1">
        <f t="shared" si="2"/>
        <v>0</v>
      </c>
      <c r="K38" s="1">
        <f t="shared" si="3"/>
        <v>0</v>
      </c>
      <c r="L38" s="1">
        <f t="shared" si="4"/>
        <v>0</v>
      </c>
      <c r="M38" s="1">
        <f t="shared" si="0"/>
        <v>61</v>
      </c>
      <c r="N38" s="1">
        <v>981</v>
      </c>
      <c r="O38" s="1">
        <v>1200</v>
      </c>
      <c r="P38" s="1">
        <v>1334</v>
      </c>
      <c r="Q38" s="1">
        <v>900</v>
      </c>
      <c r="R38" s="1">
        <v>852</v>
      </c>
      <c r="S38" s="1">
        <v>900</v>
      </c>
      <c r="T38" s="1">
        <v>913</v>
      </c>
      <c r="U38" s="1">
        <v>1200</v>
      </c>
      <c r="V38" s="1">
        <v>587</v>
      </c>
      <c r="W38" s="1">
        <v>600</v>
      </c>
      <c r="AL38" s="1">
        <f t="shared" si="5"/>
        <v>4667</v>
      </c>
      <c r="AM38" s="1">
        <f t="shared" si="6"/>
        <v>4800</v>
      </c>
    </row>
    <row r="39" spans="1:39" x14ac:dyDescent="0.35">
      <c r="A39" s="1" t="s">
        <v>34</v>
      </c>
      <c r="B39" s="1">
        <v>64</v>
      </c>
      <c r="C39" s="1">
        <v>400</v>
      </c>
      <c r="D39" s="1">
        <v>359</v>
      </c>
      <c r="I39" s="1">
        <f t="shared" si="1"/>
        <v>0</v>
      </c>
      <c r="J39" s="1">
        <f t="shared" si="2"/>
        <v>0</v>
      </c>
      <c r="K39" s="1">
        <f t="shared" si="3"/>
        <v>0</v>
      </c>
      <c r="L39" s="1">
        <f t="shared" si="4"/>
        <v>0</v>
      </c>
      <c r="M39" s="1">
        <f t="shared" si="0"/>
        <v>359</v>
      </c>
      <c r="N39" s="1">
        <v>1010</v>
      </c>
      <c r="O39" s="1">
        <v>1600</v>
      </c>
      <c r="P39" s="1">
        <v>663</v>
      </c>
      <c r="Q39" s="1">
        <v>400</v>
      </c>
      <c r="R39" s="1">
        <v>664</v>
      </c>
      <c r="S39" s="1">
        <v>1200</v>
      </c>
      <c r="T39" s="1">
        <v>1205</v>
      </c>
      <c r="U39" s="1">
        <v>1200</v>
      </c>
      <c r="V39" s="1">
        <v>485</v>
      </c>
      <c r="W39" s="1">
        <v>400</v>
      </c>
      <c r="AL39" s="1">
        <f t="shared" si="5"/>
        <v>4027</v>
      </c>
      <c r="AM39" s="1">
        <f t="shared" si="6"/>
        <v>4800</v>
      </c>
    </row>
    <row r="40" spans="1:39" x14ac:dyDescent="0.35">
      <c r="A40" s="1" t="s">
        <v>35</v>
      </c>
      <c r="B40" s="1">
        <v>45</v>
      </c>
      <c r="C40" s="1">
        <v>200</v>
      </c>
      <c r="D40" s="1">
        <v>191</v>
      </c>
      <c r="I40" s="1">
        <f t="shared" si="1"/>
        <v>0</v>
      </c>
      <c r="J40" s="1">
        <f t="shared" si="2"/>
        <v>0</v>
      </c>
      <c r="K40" s="1">
        <f t="shared" si="3"/>
        <v>0</v>
      </c>
      <c r="L40" s="1">
        <f t="shared" si="4"/>
        <v>0</v>
      </c>
      <c r="M40" s="1">
        <f t="shared" si="0"/>
        <v>191</v>
      </c>
      <c r="N40" s="1">
        <v>1006</v>
      </c>
      <c r="O40" s="1">
        <v>1200</v>
      </c>
      <c r="P40" s="1">
        <v>1257</v>
      </c>
      <c r="Q40" s="1">
        <v>400</v>
      </c>
      <c r="R40" s="1">
        <v>873</v>
      </c>
      <c r="S40" s="1">
        <v>1200</v>
      </c>
      <c r="T40" s="1">
        <v>936</v>
      </c>
      <c r="U40" s="1">
        <v>800</v>
      </c>
      <c r="V40" s="1">
        <v>415</v>
      </c>
      <c r="W40" s="1">
        <v>400</v>
      </c>
      <c r="AL40" s="1">
        <f t="shared" si="5"/>
        <v>4487</v>
      </c>
      <c r="AM40" s="1">
        <f t="shared" si="6"/>
        <v>4000</v>
      </c>
    </row>
    <row r="41" spans="1:39" x14ac:dyDescent="0.35">
      <c r="A41" s="1" t="s">
        <v>36</v>
      </c>
      <c r="B41" s="1">
        <v>73</v>
      </c>
      <c r="C41" s="1">
        <v>400</v>
      </c>
      <c r="D41" s="1">
        <v>433</v>
      </c>
      <c r="I41" s="1">
        <f t="shared" si="1"/>
        <v>0</v>
      </c>
      <c r="J41" s="1">
        <f t="shared" si="2"/>
        <v>0</v>
      </c>
      <c r="K41" s="1">
        <f t="shared" si="3"/>
        <v>0</v>
      </c>
      <c r="L41" s="1">
        <f t="shared" si="4"/>
        <v>0</v>
      </c>
      <c r="M41" s="1">
        <f t="shared" si="0"/>
        <v>433</v>
      </c>
      <c r="N41" s="1">
        <v>978</v>
      </c>
      <c r="O41" s="1">
        <v>800</v>
      </c>
      <c r="P41" s="1">
        <v>1047</v>
      </c>
      <c r="Q41" s="1">
        <v>800</v>
      </c>
      <c r="R41" s="1">
        <v>991</v>
      </c>
      <c r="S41" s="1">
        <v>400</v>
      </c>
      <c r="T41" s="1">
        <v>1141</v>
      </c>
      <c r="U41" s="1">
        <v>800</v>
      </c>
      <c r="V41" s="1">
        <v>501</v>
      </c>
      <c r="W41" s="1">
        <v>800</v>
      </c>
      <c r="AL41" s="1">
        <f t="shared" si="5"/>
        <v>4658</v>
      </c>
      <c r="AM41" s="1">
        <f t="shared" si="6"/>
        <v>3600</v>
      </c>
    </row>
    <row r="42" spans="1:39" x14ac:dyDescent="0.35">
      <c r="A42" s="1" t="s">
        <v>37</v>
      </c>
      <c r="B42" s="1">
        <v>57</v>
      </c>
      <c r="C42" s="1">
        <v>200</v>
      </c>
      <c r="D42" s="1">
        <v>248</v>
      </c>
      <c r="I42" s="1">
        <f t="shared" si="1"/>
        <v>0</v>
      </c>
      <c r="J42" s="1">
        <f t="shared" si="2"/>
        <v>0</v>
      </c>
      <c r="K42" s="1">
        <f t="shared" si="3"/>
        <v>0</v>
      </c>
      <c r="L42" s="1">
        <f t="shared" si="4"/>
        <v>0</v>
      </c>
      <c r="M42" s="1">
        <f t="shared" si="0"/>
        <v>248</v>
      </c>
      <c r="N42" s="1">
        <v>1293</v>
      </c>
      <c r="O42" s="1">
        <v>1200</v>
      </c>
      <c r="P42" s="1">
        <v>913</v>
      </c>
      <c r="Q42" s="1">
        <v>800</v>
      </c>
      <c r="R42" s="1">
        <v>884</v>
      </c>
      <c r="S42" s="1">
        <v>1400</v>
      </c>
      <c r="T42" s="1">
        <v>964</v>
      </c>
      <c r="U42" s="1">
        <v>600</v>
      </c>
      <c r="V42" s="1">
        <v>425</v>
      </c>
      <c r="W42" s="1">
        <v>600</v>
      </c>
      <c r="AL42" s="1">
        <f t="shared" si="5"/>
        <v>4479</v>
      </c>
      <c r="AM42" s="1">
        <f t="shared" si="6"/>
        <v>4600</v>
      </c>
    </row>
    <row r="43" spans="1:39" x14ac:dyDescent="0.35">
      <c r="A43" s="1" t="s">
        <v>38</v>
      </c>
      <c r="B43" s="1">
        <v>122</v>
      </c>
      <c r="C43" s="1">
        <v>300</v>
      </c>
      <c r="D43" s="1">
        <v>275</v>
      </c>
      <c r="I43" s="1">
        <f t="shared" si="1"/>
        <v>0</v>
      </c>
      <c r="J43" s="1">
        <f t="shared" si="2"/>
        <v>0</v>
      </c>
      <c r="K43" s="1">
        <f t="shared" si="3"/>
        <v>0</v>
      </c>
      <c r="L43" s="1">
        <f t="shared" si="4"/>
        <v>0</v>
      </c>
      <c r="M43" s="1">
        <f t="shared" si="0"/>
        <v>275</v>
      </c>
      <c r="N43" s="1">
        <v>914</v>
      </c>
      <c r="O43" s="1">
        <v>1200</v>
      </c>
      <c r="P43" s="1">
        <v>925</v>
      </c>
      <c r="Q43" s="1">
        <v>600</v>
      </c>
      <c r="R43" s="1">
        <v>905</v>
      </c>
      <c r="S43" s="1">
        <v>900</v>
      </c>
      <c r="T43" s="1">
        <v>1116</v>
      </c>
      <c r="U43" s="1">
        <v>300</v>
      </c>
      <c r="V43" s="1">
        <v>651</v>
      </c>
      <c r="W43" s="1">
        <v>600</v>
      </c>
      <c r="AL43" s="1">
        <f t="shared" si="5"/>
        <v>4511</v>
      </c>
      <c r="AM43" s="1">
        <f t="shared" si="6"/>
        <v>3600</v>
      </c>
    </row>
    <row r="44" spans="1:39" x14ac:dyDescent="0.35">
      <c r="A44" s="1" t="s">
        <v>39</v>
      </c>
      <c r="B44" s="1">
        <v>116</v>
      </c>
      <c r="C44" s="1">
        <v>200</v>
      </c>
      <c r="D44" s="1">
        <v>201</v>
      </c>
      <c r="I44" s="1">
        <f t="shared" si="1"/>
        <v>0</v>
      </c>
      <c r="J44" s="1">
        <f t="shared" si="2"/>
        <v>0</v>
      </c>
      <c r="K44" s="1">
        <f t="shared" si="3"/>
        <v>0</v>
      </c>
      <c r="L44" s="1">
        <f t="shared" si="4"/>
        <v>0</v>
      </c>
      <c r="M44" s="1">
        <f t="shared" si="0"/>
        <v>201</v>
      </c>
      <c r="N44" s="1">
        <v>1018</v>
      </c>
      <c r="O44" s="1">
        <v>1000</v>
      </c>
      <c r="P44" s="1">
        <v>1073</v>
      </c>
      <c r="Q44" s="1">
        <v>800</v>
      </c>
      <c r="R44" s="1">
        <v>867</v>
      </c>
      <c r="S44" s="1">
        <v>1400</v>
      </c>
      <c r="T44" s="1">
        <v>1203</v>
      </c>
      <c r="U44" s="1">
        <v>1000</v>
      </c>
      <c r="V44" s="1">
        <v>705</v>
      </c>
      <c r="W44" s="1">
        <v>600</v>
      </c>
      <c r="AL44" s="1">
        <f t="shared" si="5"/>
        <v>4866</v>
      </c>
      <c r="AM44" s="1">
        <f t="shared" si="6"/>
        <v>4800</v>
      </c>
    </row>
    <row r="45" spans="1:39" x14ac:dyDescent="0.35">
      <c r="A45" s="1" t="s">
        <v>40</v>
      </c>
      <c r="B45" s="1">
        <v>104</v>
      </c>
      <c r="C45" s="1">
        <v>100</v>
      </c>
      <c r="D45" s="1">
        <v>199</v>
      </c>
      <c r="I45" s="1">
        <f t="shared" si="1"/>
        <v>0</v>
      </c>
      <c r="J45" s="1">
        <f t="shared" si="2"/>
        <v>0</v>
      </c>
      <c r="K45" s="1">
        <f t="shared" si="3"/>
        <v>0</v>
      </c>
      <c r="L45" s="1">
        <f t="shared" si="4"/>
        <v>0</v>
      </c>
      <c r="M45" s="1">
        <f t="shared" si="0"/>
        <v>199</v>
      </c>
      <c r="N45" s="1">
        <v>1221</v>
      </c>
      <c r="O45" s="1">
        <v>1600</v>
      </c>
      <c r="P45" s="1">
        <v>1076</v>
      </c>
      <c r="Q45" s="1">
        <v>500</v>
      </c>
      <c r="R45" s="1">
        <v>1071</v>
      </c>
      <c r="S45" s="1">
        <v>900</v>
      </c>
      <c r="T45" s="1">
        <v>1069</v>
      </c>
      <c r="U45" s="1">
        <v>800</v>
      </c>
      <c r="V45" s="1">
        <v>477</v>
      </c>
      <c r="W45" s="1">
        <v>500</v>
      </c>
      <c r="AL45" s="1">
        <f t="shared" si="5"/>
        <v>4914</v>
      </c>
      <c r="AM45" s="1">
        <f t="shared" si="6"/>
        <v>4300</v>
      </c>
    </row>
    <row r="46" spans="1:39" x14ac:dyDescent="0.35">
      <c r="A46" s="1" t="s">
        <v>41</v>
      </c>
      <c r="B46" s="1">
        <v>23</v>
      </c>
      <c r="C46" s="1">
        <v>100</v>
      </c>
      <c r="D46" s="1">
        <v>57</v>
      </c>
      <c r="I46" s="1">
        <f t="shared" si="1"/>
        <v>0</v>
      </c>
      <c r="J46" s="1">
        <f t="shared" si="2"/>
        <v>0</v>
      </c>
      <c r="K46" s="1">
        <f t="shared" si="3"/>
        <v>0</v>
      </c>
      <c r="L46" s="1">
        <f t="shared" si="4"/>
        <v>0</v>
      </c>
      <c r="M46" s="1">
        <f t="shared" si="0"/>
        <v>57</v>
      </c>
      <c r="N46" s="1">
        <v>337</v>
      </c>
      <c r="O46" s="1">
        <v>1300</v>
      </c>
      <c r="P46" s="1">
        <v>1007</v>
      </c>
      <c r="Q46" s="1">
        <v>700</v>
      </c>
      <c r="R46" s="1">
        <v>1043</v>
      </c>
      <c r="S46" s="1">
        <v>900</v>
      </c>
      <c r="T46" s="1">
        <v>1169</v>
      </c>
      <c r="U46" s="1">
        <v>800</v>
      </c>
      <c r="V46" s="1">
        <v>839</v>
      </c>
      <c r="W46" s="1">
        <v>800</v>
      </c>
      <c r="AL46" s="1">
        <f t="shared" si="5"/>
        <v>4395</v>
      </c>
      <c r="AM46" s="1">
        <f t="shared" si="6"/>
        <v>4500</v>
      </c>
    </row>
    <row r="47" spans="1:39" x14ac:dyDescent="0.35">
      <c r="A47" s="1" t="s">
        <v>42</v>
      </c>
      <c r="B47" s="1">
        <v>50</v>
      </c>
      <c r="C47" s="1">
        <v>200</v>
      </c>
      <c r="D47" s="1">
        <v>245</v>
      </c>
      <c r="I47" s="1">
        <f t="shared" si="1"/>
        <v>0</v>
      </c>
      <c r="J47" s="1">
        <f t="shared" si="2"/>
        <v>0</v>
      </c>
      <c r="K47" s="1">
        <f t="shared" si="3"/>
        <v>0</v>
      </c>
      <c r="L47" s="1">
        <f t="shared" si="4"/>
        <v>0</v>
      </c>
      <c r="M47" s="1">
        <f t="shared" si="0"/>
        <v>245</v>
      </c>
      <c r="N47" s="1">
        <v>1053</v>
      </c>
      <c r="O47" s="1">
        <v>1000</v>
      </c>
      <c r="P47" s="1">
        <v>805</v>
      </c>
      <c r="Q47" s="1">
        <v>1200</v>
      </c>
      <c r="R47" s="1">
        <v>924</v>
      </c>
      <c r="S47" s="1">
        <v>600</v>
      </c>
      <c r="T47" s="1">
        <v>900</v>
      </c>
      <c r="U47" s="1">
        <v>800</v>
      </c>
      <c r="V47" s="1">
        <v>820</v>
      </c>
      <c r="W47" s="1">
        <v>1000</v>
      </c>
      <c r="AL47" s="1">
        <f t="shared" si="5"/>
        <v>4502</v>
      </c>
      <c r="AM47" s="1">
        <f t="shared" si="6"/>
        <v>4600</v>
      </c>
    </row>
    <row r="48" spans="1:39" x14ac:dyDescent="0.35">
      <c r="A48" s="1" t="s">
        <v>43</v>
      </c>
      <c r="B48" s="1">
        <v>62</v>
      </c>
      <c r="C48" s="1">
        <v>300</v>
      </c>
      <c r="D48" s="1">
        <v>248</v>
      </c>
      <c r="I48" s="1">
        <f t="shared" si="1"/>
        <v>0</v>
      </c>
      <c r="J48" s="1">
        <f t="shared" si="2"/>
        <v>0</v>
      </c>
      <c r="K48" s="1">
        <f t="shared" si="3"/>
        <v>0</v>
      </c>
      <c r="L48" s="1">
        <f t="shared" si="4"/>
        <v>0</v>
      </c>
      <c r="M48" s="1">
        <f t="shared" si="0"/>
        <v>248</v>
      </c>
      <c r="N48" s="1">
        <v>1105</v>
      </c>
      <c r="O48" s="1">
        <v>1500</v>
      </c>
      <c r="P48" s="1">
        <v>1097</v>
      </c>
      <c r="Q48" s="1">
        <v>600</v>
      </c>
      <c r="R48" s="1">
        <v>1392</v>
      </c>
      <c r="S48" s="1">
        <v>900</v>
      </c>
      <c r="T48" s="1">
        <v>479</v>
      </c>
      <c r="U48" s="1">
        <v>600</v>
      </c>
      <c r="V48" s="1">
        <v>536</v>
      </c>
      <c r="W48" s="1">
        <v>600</v>
      </c>
      <c r="AL48" s="1">
        <f t="shared" si="5"/>
        <v>4609</v>
      </c>
      <c r="AM48" s="1">
        <f t="shared" si="6"/>
        <v>4200</v>
      </c>
    </row>
    <row r="49" spans="1:39" x14ac:dyDescent="0.35">
      <c r="A49" s="1" t="s">
        <v>44</v>
      </c>
      <c r="B49" s="1">
        <v>28</v>
      </c>
      <c r="C49" s="1">
        <v>100</v>
      </c>
      <c r="D49" s="1">
        <v>99</v>
      </c>
      <c r="I49" s="1">
        <f t="shared" si="1"/>
        <v>0</v>
      </c>
      <c r="J49" s="1">
        <f t="shared" si="2"/>
        <v>0</v>
      </c>
      <c r="K49" s="1">
        <f t="shared" si="3"/>
        <v>0</v>
      </c>
      <c r="L49" s="1">
        <f t="shared" si="4"/>
        <v>0</v>
      </c>
      <c r="M49" s="1">
        <f t="shared" si="0"/>
        <v>99</v>
      </c>
      <c r="N49" s="1">
        <v>1191</v>
      </c>
      <c r="O49" s="1">
        <v>1200</v>
      </c>
      <c r="P49" s="1">
        <v>1045</v>
      </c>
      <c r="Q49" s="1">
        <v>1100</v>
      </c>
      <c r="R49" s="1">
        <v>514</v>
      </c>
      <c r="S49" s="1">
        <v>900</v>
      </c>
      <c r="T49" s="1">
        <v>574</v>
      </c>
      <c r="U49" s="1">
        <v>1000</v>
      </c>
      <c r="V49" s="1">
        <v>628</v>
      </c>
      <c r="W49" s="1">
        <v>600</v>
      </c>
      <c r="AL49" s="1">
        <f t="shared" si="5"/>
        <v>3952</v>
      </c>
      <c r="AM49" s="1">
        <f t="shared" si="6"/>
        <v>4800</v>
      </c>
    </row>
    <row r="50" spans="1:39" x14ac:dyDescent="0.35">
      <c r="A50" s="1" t="s">
        <v>45</v>
      </c>
      <c r="B50" s="1">
        <v>85</v>
      </c>
      <c r="C50" s="1">
        <v>500</v>
      </c>
      <c r="D50" s="1">
        <v>291</v>
      </c>
      <c r="I50" s="1">
        <f t="shared" si="1"/>
        <v>0</v>
      </c>
      <c r="J50" s="1">
        <f t="shared" si="2"/>
        <v>0</v>
      </c>
      <c r="K50" s="1">
        <f t="shared" si="3"/>
        <v>0</v>
      </c>
      <c r="L50" s="1">
        <f t="shared" si="4"/>
        <v>0</v>
      </c>
      <c r="M50" s="1">
        <f t="shared" si="0"/>
        <v>291</v>
      </c>
      <c r="N50" s="1">
        <v>995</v>
      </c>
      <c r="O50" s="1">
        <v>500</v>
      </c>
      <c r="P50" s="1">
        <v>761</v>
      </c>
      <c r="Q50" s="1">
        <v>1000</v>
      </c>
      <c r="R50" s="1">
        <v>652</v>
      </c>
      <c r="S50" s="1">
        <v>500</v>
      </c>
      <c r="T50" s="1">
        <v>1665</v>
      </c>
      <c r="U50" s="1">
        <v>1500</v>
      </c>
      <c r="V50" s="1">
        <v>570</v>
      </c>
      <c r="W50" s="1">
        <v>500</v>
      </c>
      <c r="AL50" s="1">
        <f t="shared" si="5"/>
        <v>4643</v>
      </c>
      <c r="AM50" s="1">
        <f t="shared" si="6"/>
        <v>4000</v>
      </c>
    </row>
    <row r="51" spans="1:39" x14ac:dyDescent="0.35">
      <c r="A51" s="1" t="s">
        <v>46</v>
      </c>
      <c r="B51" s="1">
        <v>76</v>
      </c>
      <c r="C51" s="1">
        <v>400</v>
      </c>
      <c r="D51" s="1">
        <v>370</v>
      </c>
      <c r="I51" s="1">
        <f t="shared" si="1"/>
        <v>0</v>
      </c>
      <c r="J51" s="1">
        <f t="shared" si="2"/>
        <v>0</v>
      </c>
      <c r="K51" s="1">
        <f t="shared" si="3"/>
        <v>0</v>
      </c>
      <c r="L51" s="1">
        <f t="shared" si="4"/>
        <v>0</v>
      </c>
      <c r="M51" s="1">
        <f t="shared" si="0"/>
        <v>370</v>
      </c>
      <c r="N51" s="1">
        <v>1174</v>
      </c>
      <c r="O51" s="1">
        <v>1200</v>
      </c>
      <c r="P51" s="1">
        <v>1435</v>
      </c>
      <c r="Q51" s="1">
        <v>1200</v>
      </c>
      <c r="R51" s="1">
        <v>674</v>
      </c>
      <c r="S51" s="1">
        <v>1200</v>
      </c>
      <c r="T51" s="1">
        <v>1041</v>
      </c>
      <c r="U51" s="1">
        <v>1200</v>
      </c>
      <c r="V51" s="1">
        <v>747</v>
      </c>
      <c r="W51" s="1">
        <v>800</v>
      </c>
      <c r="AL51" s="1">
        <f t="shared" si="5"/>
        <v>5071</v>
      </c>
      <c r="AM51" s="1">
        <f t="shared" si="6"/>
        <v>5600</v>
      </c>
    </row>
    <row r="52" spans="1:39" x14ac:dyDescent="0.35">
      <c r="A52" s="1" t="s">
        <v>47</v>
      </c>
      <c r="B52" s="1">
        <v>56</v>
      </c>
      <c r="C52" s="1">
        <v>100</v>
      </c>
      <c r="D52" s="1">
        <v>72</v>
      </c>
      <c r="I52" s="1">
        <f t="shared" si="1"/>
        <v>0</v>
      </c>
      <c r="J52" s="1">
        <f t="shared" si="2"/>
        <v>0</v>
      </c>
      <c r="K52" s="1">
        <f t="shared" si="3"/>
        <v>0</v>
      </c>
      <c r="L52" s="1">
        <f t="shared" si="4"/>
        <v>0</v>
      </c>
      <c r="M52" s="1">
        <f t="shared" si="0"/>
        <v>72</v>
      </c>
      <c r="N52" s="1">
        <v>521</v>
      </c>
      <c r="O52" s="1">
        <v>1500</v>
      </c>
      <c r="P52" s="1">
        <v>982</v>
      </c>
      <c r="Q52" s="1">
        <v>800</v>
      </c>
      <c r="R52" s="1">
        <v>622</v>
      </c>
      <c r="S52" s="1">
        <v>1000</v>
      </c>
      <c r="T52" s="1">
        <v>632</v>
      </c>
      <c r="U52" s="1">
        <v>1100</v>
      </c>
      <c r="V52" s="1">
        <v>805</v>
      </c>
      <c r="W52" s="1">
        <v>800</v>
      </c>
      <c r="AL52" s="1">
        <f t="shared" si="5"/>
        <v>3562</v>
      </c>
      <c r="AM52" s="1">
        <f t="shared" si="6"/>
        <v>5200</v>
      </c>
    </row>
    <row r="53" spans="1:39" x14ac:dyDescent="0.35">
      <c r="A53" s="1" t="s">
        <v>48</v>
      </c>
      <c r="B53" s="1">
        <v>40</v>
      </c>
      <c r="C53" s="1">
        <v>500</v>
      </c>
      <c r="D53" s="1">
        <v>220</v>
      </c>
      <c r="I53" s="1">
        <f t="shared" si="1"/>
        <v>0</v>
      </c>
      <c r="J53" s="1">
        <f t="shared" si="2"/>
        <v>0</v>
      </c>
      <c r="K53" s="1">
        <f t="shared" si="3"/>
        <v>0</v>
      </c>
      <c r="L53" s="1">
        <f t="shared" si="4"/>
        <v>0</v>
      </c>
      <c r="M53" s="1">
        <f t="shared" si="0"/>
        <v>220</v>
      </c>
      <c r="N53" s="1">
        <v>764</v>
      </c>
      <c r="O53" s="1">
        <v>1000</v>
      </c>
      <c r="P53" s="1">
        <v>587</v>
      </c>
      <c r="Q53" s="1">
        <v>1000</v>
      </c>
      <c r="R53" s="1">
        <v>874</v>
      </c>
      <c r="S53" s="1">
        <v>500</v>
      </c>
      <c r="T53" s="1">
        <v>1051</v>
      </c>
      <c r="U53" s="1">
        <v>1000</v>
      </c>
      <c r="V53" s="1">
        <v>314</v>
      </c>
      <c r="W53" s="1">
        <v>0</v>
      </c>
      <c r="AL53" s="1">
        <f t="shared" si="5"/>
        <v>3590</v>
      </c>
      <c r="AM53" s="1">
        <f t="shared" si="6"/>
        <v>3500</v>
      </c>
    </row>
    <row r="54" spans="1:39" x14ac:dyDescent="0.35">
      <c r="A54" s="1" t="s">
        <v>49</v>
      </c>
      <c r="B54" s="1">
        <v>10</v>
      </c>
      <c r="C54" s="1">
        <v>300</v>
      </c>
      <c r="D54" s="1">
        <v>160</v>
      </c>
      <c r="I54" s="1">
        <f t="shared" si="1"/>
        <v>0</v>
      </c>
      <c r="J54" s="1">
        <f t="shared" si="2"/>
        <v>0</v>
      </c>
      <c r="K54" s="1">
        <f t="shared" si="3"/>
        <v>0</v>
      </c>
      <c r="L54" s="1">
        <f t="shared" si="4"/>
        <v>0</v>
      </c>
      <c r="M54" s="1">
        <f t="shared" si="0"/>
        <v>160</v>
      </c>
      <c r="N54" s="1">
        <v>928</v>
      </c>
      <c r="O54" s="1">
        <v>1500</v>
      </c>
      <c r="P54" s="1">
        <v>646</v>
      </c>
      <c r="Q54" s="1">
        <v>900</v>
      </c>
      <c r="R54" s="1">
        <v>815</v>
      </c>
      <c r="S54" s="1">
        <v>900</v>
      </c>
      <c r="T54" s="1">
        <v>647</v>
      </c>
      <c r="U54" s="1">
        <v>900</v>
      </c>
      <c r="V54" s="1">
        <v>670</v>
      </c>
      <c r="W54" s="1">
        <v>600</v>
      </c>
      <c r="AL54" s="1">
        <f t="shared" si="5"/>
        <v>3706</v>
      </c>
      <c r="AM54" s="1">
        <f t="shared" si="6"/>
        <v>4800</v>
      </c>
    </row>
    <row r="55" spans="1:39" x14ac:dyDescent="0.35">
      <c r="A55" s="1" t="s">
        <v>50</v>
      </c>
      <c r="B55" s="1">
        <v>26</v>
      </c>
      <c r="C55" s="1">
        <v>400</v>
      </c>
      <c r="D55" s="1">
        <v>233</v>
      </c>
      <c r="I55" s="1">
        <f t="shared" si="1"/>
        <v>0</v>
      </c>
      <c r="J55" s="1">
        <f t="shared" si="2"/>
        <v>0</v>
      </c>
      <c r="K55" s="1">
        <f t="shared" si="3"/>
        <v>0</v>
      </c>
      <c r="L55" s="1">
        <f t="shared" si="4"/>
        <v>0</v>
      </c>
      <c r="M55" s="1">
        <f t="shared" si="0"/>
        <v>233</v>
      </c>
      <c r="N55" s="1">
        <v>1176</v>
      </c>
      <c r="O55" s="1">
        <v>1200</v>
      </c>
      <c r="P55" s="1">
        <v>575</v>
      </c>
      <c r="Q55" s="1">
        <v>800</v>
      </c>
      <c r="R55" s="1">
        <v>1049</v>
      </c>
      <c r="S55" s="1">
        <v>1200</v>
      </c>
      <c r="T55" s="1">
        <v>1079</v>
      </c>
      <c r="U55" s="1">
        <v>1200</v>
      </c>
      <c r="V55" s="1">
        <v>543</v>
      </c>
      <c r="W55" s="1">
        <v>400</v>
      </c>
      <c r="AL55" s="1">
        <f t="shared" si="5"/>
        <v>4422</v>
      </c>
      <c r="AM55" s="1">
        <f t="shared" si="6"/>
        <v>4800</v>
      </c>
    </row>
    <row r="56" spans="1:39" x14ac:dyDescent="0.35">
      <c r="A56" s="1" t="s">
        <v>51</v>
      </c>
      <c r="B56" s="1">
        <v>11</v>
      </c>
      <c r="C56" s="1">
        <v>200</v>
      </c>
      <c r="D56" s="1">
        <v>81</v>
      </c>
      <c r="I56" s="1">
        <f t="shared" si="1"/>
        <v>0</v>
      </c>
      <c r="J56" s="1">
        <f t="shared" si="2"/>
        <v>0</v>
      </c>
      <c r="K56" s="1">
        <f t="shared" si="3"/>
        <v>0</v>
      </c>
      <c r="L56" s="1">
        <f t="shared" si="4"/>
        <v>0</v>
      </c>
      <c r="M56" s="1">
        <f t="shared" si="0"/>
        <v>81</v>
      </c>
      <c r="N56" s="1">
        <v>1708</v>
      </c>
      <c r="O56" s="1">
        <v>1000</v>
      </c>
      <c r="P56" s="1">
        <v>1102</v>
      </c>
      <c r="Q56" s="1">
        <v>1400</v>
      </c>
      <c r="R56" s="1">
        <v>1196</v>
      </c>
      <c r="S56" s="1">
        <v>800</v>
      </c>
      <c r="T56" s="1">
        <v>1559</v>
      </c>
      <c r="U56" s="1">
        <v>1000</v>
      </c>
      <c r="V56" s="1">
        <v>761</v>
      </c>
      <c r="W56" s="1">
        <v>800</v>
      </c>
      <c r="AL56" s="1">
        <f t="shared" si="5"/>
        <v>6326</v>
      </c>
      <c r="AM56" s="1">
        <f t="shared" si="6"/>
        <v>5000</v>
      </c>
    </row>
    <row r="57" spans="1:39" x14ac:dyDescent="0.35">
      <c r="A57" s="1" t="s">
        <v>52</v>
      </c>
      <c r="B57" s="1">
        <v>137</v>
      </c>
      <c r="C57" s="1">
        <v>500</v>
      </c>
      <c r="D57" s="1">
        <v>384</v>
      </c>
      <c r="I57" s="1">
        <f t="shared" si="1"/>
        <v>0</v>
      </c>
      <c r="J57" s="1">
        <f t="shared" si="2"/>
        <v>0</v>
      </c>
      <c r="K57" s="1">
        <f t="shared" si="3"/>
        <v>0</v>
      </c>
      <c r="L57" s="1">
        <f t="shared" si="4"/>
        <v>0</v>
      </c>
      <c r="M57" s="1">
        <f t="shared" si="0"/>
        <v>384</v>
      </c>
      <c r="N57" s="1">
        <v>1683</v>
      </c>
      <c r="O57" s="1">
        <v>1500</v>
      </c>
      <c r="P57" s="1">
        <v>734</v>
      </c>
      <c r="Q57" s="1">
        <v>1500</v>
      </c>
      <c r="R57" s="1">
        <v>928</v>
      </c>
      <c r="S57" s="1">
        <v>1000</v>
      </c>
      <c r="T57" s="1">
        <v>1295</v>
      </c>
      <c r="U57" s="1">
        <v>1500</v>
      </c>
      <c r="V57" s="1">
        <v>747</v>
      </c>
      <c r="W57" s="1">
        <v>500</v>
      </c>
      <c r="AL57" s="1">
        <f t="shared" si="5"/>
        <v>5387</v>
      </c>
      <c r="AM57" s="1">
        <f t="shared" si="6"/>
        <v>6000</v>
      </c>
    </row>
    <row r="58" spans="1:39" x14ac:dyDescent="0.35">
      <c r="A58" s="1" t="s">
        <v>53</v>
      </c>
      <c r="B58" s="1">
        <v>10</v>
      </c>
      <c r="C58" s="1">
        <v>400</v>
      </c>
      <c r="D58" s="1">
        <v>243</v>
      </c>
      <c r="I58" s="1">
        <f t="shared" si="1"/>
        <v>0</v>
      </c>
      <c r="J58" s="1">
        <f t="shared" si="2"/>
        <v>0</v>
      </c>
      <c r="K58" s="1">
        <f t="shared" si="3"/>
        <v>0</v>
      </c>
      <c r="L58" s="1">
        <f t="shared" si="4"/>
        <v>0</v>
      </c>
      <c r="M58" s="1">
        <f t="shared" si="0"/>
        <v>243</v>
      </c>
      <c r="N58" s="1">
        <v>1386</v>
      </c>
      <c r="O58" s="1">
        <v>800</v>
      </c>
      <c r="P58" s="1">
        <v>1258</v>
      </c>
      <c r="Q58" s="1">
        <v>1600</v>
      </c>
      <c r="R58" s="1">
        <v>1003</v>
      </c>
      <c r="S58" s="1">
        <v>1200</v>
      </c>
      <c r="T58" s="1">
        <v>488</v>
      </c>
      <c r="U58" s="1">
        <v>1200</v>
      </c>
      <c r="V58" s="1">
        <v>497</v>
      </c>
      <c r="W58" s="1">
        <v>400</v>
      </c>
      <c r="AL58" s="1">
        <f t="shared" si="5"/>
        <v>4632</v>
      </c>
      <c r="AM58" s="1">
        <f t="shared" si="6"/>
        <v>5200</v>
      </c>
    </row>
    <row r="59" spans="1:39" x14ac:dyDescent="0.35">
      <c r="A59" s="1" t="s">
        <v>54</v>
      </c>
      <c r="B59" s="1">
        <v>140</v>
      </c>
      <c r="C59" s="1">
        <v>400</v>
      </c>
      <c r="D59" s="1">
        <v>352</v>
      </c>
      <c r="I59" s="1">
        <f t="shared" si="1"/>
        <v>0</v>
      </c>
      <c r="J59" s="1">
        <f t="shared" si="2"/>
        <v>0</v>
      </c>
      <c r="K59" s="1">
        <f t="shared" si="3"/>
        <v>0</v>
      </c>
      <c r="L59" s="1">
        <f t="shared" si="4"/>
        <v>0</v>
      </c>
      <c r="M59" s="1">
        <f t="shared" si="0"/>
        <v>352</v>
      </c>
      <c r="N59" s="1">
        <v>1093</v>
      </c>
      <c r="O59" s="1">
        <v>800</v>
      </c>
      <c r="P59" s="1">
        <v>928</v>
      </c>
      <c r="Q59" s="1">
        <v>1600</v>
      </c>
      <c r="R59" s="1">
        <v>567</v>
      </c>
      <c r="S59" s="1">
        <v>800</v>
      </c>
      <c r="T59" s="1">
        <v>640</v>
      </c>
      <c r="U59" s="1">
        <v>1200</v>
      </c>
      <c r="V59" s="1">
        <v>726</v>
      </c>
      <c r="W59" s="1">
        <v>800</v>
      </c>
      <c r="AL59" s="1">
        <f t="shared" si="5"/>
        <v>3954</v>
      </c>
      <c r="AM59" s="1">
        <f t="shared" si="6"/>
        <v>5200</v>
      </c>
    </row>
    <row r="60" spans="1:39" x14ac:dyDescent="0.35">
      <c r="A60" s="1" t="s">
        <v>55</v>
      </c>
      <c r="B60" s="1">
        <v>143</v>
      </c>
      <c r="C60" s="1">
        <v>200</v>
      </c>
      <c r="D60" s="1">
        <v>308</v>
      </c>
      <c r="I60" s="1">
        <f t="shared" si="1"/>
        <v>0</v>
      </c>
      <c r="J60" s="1">
        <f t="shared" si="2"/>
        <v>0</v>
      </c>
      <c r="K60" s="1">
        <f t="shared" si="3"/>
        <v>0</v>
      </c>
      <c r="L60" s="1">
        <f t="shared" si="4"/>
        <v>0</v>
      </c>
      <c r="M60" s="1">
        <f t="shared" si="0"/>
        <v>308</v>
      </c>
      <c r="N60" s="1">
        <v>632</v>
      </c>
      <c r="O60" s="1">
        <v>1200</v>
      </c>
      <c r="P60" s="1">
        <v>1409</v>
      </c>
      <c r="Q60" s="1">
        <v>1200</v>
      </c>
      <c r="R60" s="1">
        <v>738</v>
      </c>
      <c r="S60" s="1">
        <v>600</v>
      </c>
      <c r="T60" s="1">
        <v>1492</v>
      </c>
      <c r="U60" s="1">
        <v>1200</v>
      </c>
      <c r="V60" s="1">
        <v>362</v>
      </c>
      <c r="W60" s="1">
        <v>400</v>
      </c>
      <c r="AL60" s="1">
        <f t="shared" si="5"/>
        <v>4633</v>
      </c>
      <c r="AM60" s="1">
        <f t="shared" si="6"/>
        <v>4600</v>
      </c>
    </row>
    <row r="61" spans="1:39" x14ac:dyDescent="0.35">
      <c r="A61" s="1" t="s">
        <v>56</v>
      </c>
      <c r="B61" s="1">
        <v>62</v>
      </c>
      <c r="C61" s="1">
        <v>400</v>
      </c>
      <c r="D61" s="1">
        <v>63</v>
      </c>
      <c r="I61" s="1">
        <f t="shared" si="1"/>
        <v>0</v>
      </c>
      <c r="J61" s="1">
        <f t="shared" si="2"/>
        <v>0</v>
      </c>
      <c r="K61" s="1">
        <f t="shared" si="3"/>
        <v>0</v>
      </c>
      <c r="L61" s="1">
        <f t="shared" si="4"/>
        <v>0</v>
      </c>
      <c r="M61" s="1">
        <f t="shared" si="0"/>
        <v>63</v>
      </c>
      <c r="N61" s="1">
        <v>1339</v>
      </c>
      <c r="O61" s="1">
        <v>800</v>
      </c>
      <c r="P61" s="1">
        <v>1438</v>
      </c>
      <c r="Q61" s="1">
        <v>1200</v>
      </c>
      <c r="R61" s="1">
        <v>965</v>
      </c>
      <c r="S61" s="1">
        <v>1600</v>
      </c>
      <c r="T61" s="1">
        <v>1063</v>
      </c>
      <c r="U61" s="1">
        <v>1200</v>
      </c>
      <c r="V61" s="1">
        <v>696</v>
      </c>
      <c r="W61" s="1">
        <v>400</v>
      </c>
      <c r="AL61" s="1">
        <f t="shared" si="5"/>
        <v>5501</v>
      </c>
      <c r="AM61" s="1">
        <f t="shared" si="6"/>
        <v>5200</v>
      </c>
    </row>
    <row r="62" spans="1:39" x14ac:dyDescent="0.35">
      <c r="A62" s="1" t="s">
        <v>57</v>
      </c>
      <c r="B62" s="1">
        <v>17</v>
      </c>
      <c r="C62" s="1">
        <v>500</v>
      </c>
      <c r="D62" s="1">
        <v>324</v>
      </c>
      <c r="I62" s="1">
        <f t="shared" si="1"/>
        <v>0</v>
      </c>
      <c r="J62" s="1">
        <f t="shared" si="2"/>
        <v>0</v>
      </c>
      <c r="K62" s="1">
        <f t="shared" si="3"/>
        <v>0</v>
      </c>
      <c r="L62" s="1">
        <f t="shared" si="4"/>
        <v>0</v>
      </c>
      <c r="M62" s="1">
        <f t="shared" si="0"/>
        <v>324</v>
      </c>
      <c r="N62" s="1">
        <v>189</v>
      </c>
      <c r="O62" s="1">
        <v>1000</v>
      </c>
      <c r="P62" s="1">
        <v>926</v>
      </c>
      <c r="Q62" s="1">
        <v>1000</v>
      </c>
      <c r="R62" s="1">
        <v>1448</v>
      </c>
      <c r="S62" s="1">
        <v>1000</v>
      </c>
      <c r="T62" s="1">
        <v>1197</v>
      </c>
      <c r="U62" s="1">
        <v>1500</v>
      </c>
      <c r="V62" s="1">
        <v>811</v>
      </c>
      <c r="W62" s="1">
        <v>1000</v>
      </c>
      <c r="AL62" s="1">
        <f t="shared" si="5"/>
        <v>4571</v>
      </c>
      <c r="AM62" s="1">
        <f t="shared" si="6"/>
        <v>5500</v>
      </c>
    </row>
    <row r="63" spans="1:39" x14ac:dyDescent="0.35">
      <c r="A63" s="1" t="s">
        <v>58</v>
      </c>
      <c r="B63" s="1">
        <v>70</v>
      </c>
      <c r="C63" s="1">
        <v>500</v>
      </c>
      <c r="D63" s="1">
        <v>516</v>
      </c>
      <c r="I63" s="1">
        <f t="shared" si="1"/>
        <v>0</v>
      </c>
      <c r="J63" s="1">
        <f t="shared" si="2"/>
        <v>0</v>
      </c>
      <c r="K63" s="1">
        <f t="shared" si="3"/>
        <v>0</v>
      </c>
      <c r="L63" s="1">
        <f t="shared" si="4"/>
        <v>0</v>
      </c>
      <c r="M63" s="1">
        <f t="shared" si="0"/>
        <v>516</v>
      </c>
      <c r="N63" s="1">
        <v>1528</v>
      </c>
      <c r="O63" s="1">
        <v>1500</v>
      </c>
      <c r="P63" s="1">
        <v>1080</v>
      </c>
      <c r="Q63" s="1">
        <v>500</v>
      </c>
      <c r="R63" s="1">
        <v>1025</v>
      </c>
      <c r="S63" s="1">
        <v>1000</v>
      </c>
      <c r="T63" s="1">
        <v>1341</v>
      </c>
      <c r="U63" s="1">
        <v>1000</v>
      </c>
      <c r="V63" s="1">
        <v>429</v>
      </c>
      <c r="W63" s="1">
        <v>500</v>
      </c>
      <c r="AL63" s="1">
        <f t="shared" si="5"/>
        <v>5403</v>
      </c>
      <c r="AM63" s="1">
        <f t="shared" si="6"/>
        <v>4500</v>
      </c>
    </row>
    <row r="64" spans="1:39" x14ac:dyDescent="0.35">
      <c r="A64" s="1" t="s">
        <v>59</v>
      </c>
      <c r="B64" s="1">
        <v>147</v>
      </c>
      <c r="C64" s="1">
        <v>400</v>
      </c>
      <c r="D64" s="1">
        <v>459</v>
      </c>
      <c r="I64" s="1">
        <f t="shared" si="1"/>
        <v>0</v>
      </c>
      <c r="J64" s="1">
        <f t="shared" si="2"/>
        <v>0</v>
      </c>
      <c r="K64" s="1">
        <f t="shared" si="3"/>
        <v>0</v>
      </c>
      <c r="L64" s="1">
        <f t="shared" si="4"/>
        <v>0</v>
      </c>
      <c r="M64" s="1">
        <f t="shared" si="0"/>
        <v>459</v>
      </c>
      <c r="N64" s="1">
        <v>1406</v>
      </c>
      <c r="O64" s="1">
        <v>1200</v>
      </c>
      <c r="P64" s="1">
        <v>702</v>
      </c>
      <c r="Q64" s="1">
        <v>1200</v>
      </c>
      <c r="R64" s="1">
        <v>1092</v>
      </c>
      <c r="S64" s="1">
        <v>1200</v>
      </c>
      <c r="T64" s="1">
        <v>1344</v>
      </c>
      <c r="U64" s="1">
        <v>800</v>
      </c>
      <c r="V64" s="1">
        <v>512</v>
      </c>
      <c r="W64" s="1">
        <v>800</v>
      </c>
      <c r="AL64" s="1">
        <f t="shared" si="5"/>
        <v>5056</v>
      </c>
      <c r="AM64" s="1">
        <f t="shared" si="6"/>
        <v>5200</v>
      </c>
    </row>
    <row r="65" spans="1:39" x14ac:dyDescent="0.35">
      <c r="A65" s="1" t="s">
        <v>60</v>
      </c>
      <c r="B65" s="1">
        <v>29</v>
      </c>
      <c r="C65" s="1">
        <v>100</v>
      </c>
      <c r="D65" s="1">
        <v>44</v>
      </c>
      <c r="I65" s="1">
        <f t="shared" si="1"/>
        <v>0</v>
      </c>
      <c r="J65" s="1">
        <f t="shared" si="2"/>
        <v>0</v>
      </c>
      <c r="K65" s="1">
        <f t="shared" si="3"/>
        <v>0</v>
      </c>
      <c r="L65" s="1">
        <f t="shared" si="4"/>
        <v>0</v>
      </c>
      <c r="M65" s="1">
        <f t="shared" si="0"/>
        <v>44</v>
      </c>
      <c r="N65" s="1">
        <v>1038</v>
      </c>
      <c r="O65" s="1">
        <v>1100</v>
      </c>
      <c r="P65" s="1">
        <v>1027</v>
      </c>
      <c r="Q65" s="1">
        <v>800</v>
      </c>
      <c r="R65" s="1">
        <v>715</v>
      </c>
      <c r="S65" s="1">
        <v>1000</v>
      </c>
      <c r="T65" s="1">
        <v>750</v>
      </c>
      <c r="U65" s="1">
        <v>800</v>
      </c>
      <c r="V65" s="1">
        <v>535</v>
      </c>
      <c r="W65" s="1">
        <v>500</v>
      </c>
      <c r="AL65" s="1">
        <f t="shared" si="5"/>
        <v>4065</v>
      </c>
      <c r="AM65" s="1">
        <f t="shared" si="6"/>
        <v>4200</v>
      </c>
    </row>
    <row r="66" spans="1:39" x14ac:dyDescent="0.35">
      <c r="A66" s="1" t="s">
        <v>61</v>
      </c>
      <c r="B66" s="1">
        <v>104</v>
      </c>
      <c r="C66" s="1">
        <v>400</v>
      </c>
      <c r="D66" s="1">
        <v>173</v>
      </c>
      <c r="I66" s="1">
        <f t="shared" si="1"/>
        <v>0</v>
      </c>
      <c r="J66" s="1">
        <f t="shared" si="2"/>
        <v>0</v>
      </c>
      <c r="K66" s="1">
        <f t="shared" si="3"/>
        <v>0</v>
      </c>
      <c r="L66" s="1">
        <f t="shared" si="4"/>
        <v>0</v>
      </c>
      <c r="M66" s="1">
        <f t="shared" si="0"/>
        <v>173</v>
      </c>
      <c r="N66" s="1">
        <v>1125</v>
      </c>
      <c r="O66" s="1">
        <v>1600</v>
      </c>
      <c r="P66" s="1">
        <v>906</v>
      </c>
      <c r="Q66" s="1">
        <v>1200</v>
      </c>
      <c r="R66" s="1">
        <v>496</v>
      </c>
      <c r="S66" s="1">
        <v>800</v>
      </c>
      <c r="T66" s="1">
        <v>873</v>
      </c>
      <c r="U66" s="1">
        <v>1200</v>
      </c>
      <c r="V66" s="1">
        <v>601</v>
      </c>
      <c r="W66" s="1">
        <v>400</v>
      </c>
      <c r="AL66" s="1">
        <f t="shared" si="5"/>
        <v>4001</v>
      </c>
      <c r="AM66" s="1">
        <f t="shared" si="6"/>
        <v>5200</v>
      </c>
    </row>
    <row r="67" spans="1:39" x14ac:dyDescent="0.35">
      <c r="A67" s="1" t="s">
        <v>62</v>
      </c>
      <c r="B67" s="1">
        <v>59</v>
      </c>
      <c r="C67" s="1">
        <v>200</v>
      </c>
      <c r="D67" s="1">
        <v>256</v>
      </c>
      <c r="I67" s="1">
        <f t="shared" si="1"/>
        <v>0</v>
      </c>
      <c r="J67" s="1">
        <f t="shared" si="2"/>
        <v>0</v>
      </c>
      <c r="K67" s="1">
        <f t="shared" si="3"/>
        <v>0</v>
      </c>
      <c r="L67" s="1">
        <f t="shared" si="4"/>
        <v>0</v>
      </c>
      <c r="M67" s="1">
        <f t="shared" si="0"/>
        <v>256</v>
      </c>
      <c r="N67" s="1">
        <v>726</v>
      </c>
      <c r="O67" s="1">
        <v>1400</v>
      </c>
      <c r="P67" s="1">
        <v>777</v>
      </c>
      <c r="Q67" s="1">
        <v>1400</v>
      </c>
      <c r="R67" s="1">
        <v>1160</v>
      </c>
      <c r="S67" s="1">
        <v>800</v>
      </c>
      <c r="T67" s="1">
        <v>795</v>
      </c>
      <c r="U67" s="1">
        <v>800</v>
      </c>
      <c r="V67" s="1">
        <v>443</v>
      </c>
      <c r="W67" s="1">
        <v>600</v>
      </c>
      <c r="AL67" s="1">
        <f t="shared" si="5"/>
        <v>3901</v>
      </c>
      <c r="AM67" s="1">
        <f t="shared" si="6"/>
        <v>5000</v>
      </c>
    </row>
    <row r="68" spans="1:39" x14ac:dyDescent="0.35">
      <c r="A68" s="1" t="s">
        <v>63</v>
      </c>
      <c r="B68" s="1">
        <v>30</v>
      </c>
      <c r="C68" s="1">
        <v>400</v>
      </c>
      <c r="D68" s="1">
        <v>374</v>
      </c>
      <c r="I68" s="1">
        <f t="shared" si="1"/>
        <v>0</v>
      </c>
      <c r="J68" s="1">
        <f t="shared" si="2"/>
        <v>0</v>
      </c>
      <c r="K68" s="1">
        <f t="shared" si="3"/>
        <v>0</v>
      </c>
      <c r="L68" s="1">
        <f t="shared" si="4"/>
        <v>0</v>
      </c>
      <c r="M68" s="1">
        <f t="shared" si="0"/>
        <v>374</v>
      </c>
      <c r="N68" s="1">
        <v>1268</v>
      </c>
      <c r="O68" s="1">
        <v>800</v>
      </c>
      <c r="P68" s="1">
        <v>913</v>
      </c>
      <c r="Q68" s="1">
        <v>1200</v>
      </c>
      <c r="R68" s="1">
        <v>1007</v>
      </c>
      <c r="S68" s="1">
        <v>1600</v>
      </c>
      <c r="T68" s="1">
        <v>1073</v>
      </c>
      <c r="U68" s="1">
        <v>800</v>
      </c>
      <c r="V68" s="1">
        <v>683</v>
      </c>
      <c r="W68" s="1">
        <v>800</v>
      </c>
      <c r="AL68" s="1">
        <f t="shared" si="5"/>
        <v>4944</v>
      </c>
      <c r="AM68" s="1">
        <f t="shared" si="6"/>
        <v>5200</v>
      </c>
    </row>
    <row r="69" spans="1:39" x14ac:dyDescent="0.35">
      <c r="A69" s="1" t="s">
        <v>64</v>
      </c>
      <c r="B69" s="1">
        <v>105</v>
      </c>
      <c r="C69" s="1">
        <v>200</v>
      </c>
      <c r="D69" s="1">
        <v>150</v>
      </c>
      <c r="I69" s="1">
        <f t="shared" si="1"/>
        <v>0</v>
      </c>
      <c r="J69" s="1">
        <f t="shared" si="2"/>
        <v>0</v>
      </c>
      <c r="K69" s="1">
        <f t="shared" si="3"/>
        <v>0</v>
      </c>
      <c r="L69" s="1">
        <f t="shared" si="4"/>
        <v>0</v>
      </c>
      <c r="M69" s="1">
        <f t="shared" si="0"/>
        <v>150</v>
      </c>
      <c r="N69" s="1">
        <v>504</v>
      </c>
      <c r="O69" s="1">
        <v>800</v>
      </c>
      <c r="P69" s="1">
        <v>1205</v>
      </c>
      <c r="Q69" s="1">
        <v>800</v>
      </c>
      <c r="R69" s="1">
        <v>1236</v>
      </c>
      <c r="S69" s="1">
        <v>1000</v>
      </c>
      <c r="T69" s="1">
        <v>823</v>
      </c>
      <c r="U69" s="1">
        <v>1400</v>
      </c>
      <c r="V69" s="1">
        <v>436</v>
      </c>
      <c r="W69" s="1">
        <v>400</v>
      </c>
      <c r="AL69" s="1">
        <f t="shared" si="5"/>
        <v>4204</v>
      </c>
      <c r="AM69" s="1">
        <f t="shared" si="6"/>
        <v>4400</v>
      </c>
    </row>
    <row r="70" spans="1:39" x14ac:dyDescent="0.35">
      <c r="A70" s="1" t="s">
        <v>65</v>
      </c>
      <c r="B70" s="1">
        <v>45</v>
      </c>
      <c r="C70" s="1">
        <v>400</v>
      </c>
      <c r="D70" s="1">
        <v>229</v>
      </c>
      <c r="I70" s="1">
        <f t="shared" si="1"/>
        <v>0</v>
      </c>
      <c r="J70" s="1">
        <f t="shared" si="2"/>
        <v>0</v>
      </c>
      <c r="K70" s="1">
        <f t="shared" si="3"/>
        <v>0</v>
      </c>
      <c r="L70" s="1">
        <f t="shared" si="4"/>
        <v>0</v>
      </c>
      <c r="M70" s="1">
        <f t="shared" si="0"/>
        <v>229</v>
      </c>
      <c r="N70" s="1">
        <v>687</v>
      </c>
      <c r="O70" s="1">
        <v>1200</v>
      </c>
      <c r="P70" s="1">
        <v>564</v>
      </c>
      <c r="Q70" s="1">
        <v>800</v>
      </c>
      <c r="R70" s="1">
        <v>1077</v>
      </c>
      <c r="S70" s="1">
        <v>800</v>
      </c>
      <c r="T70" s="1">
        <v>932</v>
      </c>
      <c r="U70" s="1">
        <v>1600</v>
      </c>
      <c r="V70" s="1">
        <v>662</v>
      </c>
      <c r="W70" s="1">
        <v>800</v>
      </c>
      <c r="AL70" s="1">
        <f t="shared" si="5"/>
        <v>3922</v>
      </c>
      <c r="AM70" s="1">
        <f t="shared" si="6"/>
        <v>5200</v>
      </c>
    </row>
    <row r="71" spans="1:39" x14ac:dyDescent="0.35">
      <c r="A71" s="1" t="s">
        <v>66</v>
      </c>
      <c r="B71" s="1">
        <v>79</v>
      </c>
      <c r="C71" s="1">
        <v>100</v>
      </c>
      <c r="D71" s="1">
        <v>174</v>
      </c>
      <c r="I71" s="1">
        <f t="shared" ref="I71:I134" si="7">Purchase(D71,B71,C71,E71)</f>
        <v>0</v>
      </c>
      <c r="J71" s="1">
        <f t="shared" ref="J71:J134" si="8">Purchase(D71+I71,B71,C71,SUM(E71:F71))</f>
        <v>0</v>
      </c>
      <c r="K71" s="1">
        <f t="shared" ref="K71:K134" si="9">Purchase(D71+SUM(I71:J71),B71,C71,SUM(E71:G71))</f>
        <v>0</v>
      </c>
      <c r="L71" s="1">
        <f t="shared" ref="L71:L134" si="10">Purchase(D71+SUM(I71:K71),B71,C71,SUM(E71:H71))</f>
        <v>0</v>
      </c>
      <c r="M71" s="1">
        <f t="shared" ref="M71:M134" si="11">D71-SUM(E71:H71)+SUM(I71:L71)</f>
        <v>174</v>
      </c>
      <c r="N71" s="1">
        <v>988</v>
      </c>
      <c r="O71" s="1">
        <v>1200</v>
      </c>
      <c r="P71" s="1">
        <v>931</v>
      </c>
      <c r="Q71" s="1">
        <v>800</v>
      </c>
      <c r="R71" s="1">
        <v>1613</v>
      </c>
      <c r="S71" s="1">
        <v>1200</v>
      </c>
      <c r="T71" s="1">
        <v>773</v>
      </c>
      <c r="U71" s="1">
        <v>1000</v>
      </c>
      <c r="V71" s="1">
        <v>580</v>
      </c>
      <c r="W71" s="1">
        <v>600</v>
      </c>
      <c r="AL71" s="1">
        <f t="shared" ref="AL71:AL134" si="12">SUM(AJ71,AH71,AF71,AD71,AB71,Z71,X71,V71,T71,R71,P71,N71)</f>
        <v>4885</v>
      </c>
      <c r="AM71" s="1">
        <f t="shared" ref="AM71:AM134" si="13">SUM(AK71,AI71,AG71,AE71,AC71,AA71,Y71,W71,U71,S71,Q71,O71)</f>
        <v>4800</v>
      </c>
    </row>
    <row r="72" spans="1:39" x14ac:dyDescent="0.35">
      <c r="A72" s="1" t="s">
        <v>67</v>
      </c>
      <c r="B72" s="1">
        <v>108</v>
      </c>
      <c r="C72" s="1">
        <v>100</v>
      </c>
      <c r="D72" s="1">
        <v>148</v>
      </c>
      <c r="I72" s="1">
        <f t="shared" si="7"/>
        <v>0</v>
      </c>
      <c r="J72" s="1">
        <f t="shared" si="8"/>
        <v>0</v>
      </c>
      <c r="K72" s="1">
        <f t="shared" si="9"/>
        <v>0</v>
      </c>
      <c r="L72" s="1">
        <f t="shared" si="10"/>
        <v>0</v>
      </c>
      <c r="M72" s="1">
        <f t="shared" si="11"/>
        <v>148</v>
      </c>
      <c r="N72" s="1">
        <v>1151</v>
      </c>
      <c r="O72" s="1">
        <v>900</v>
      </c>
      <c r="P72" s="1">
        <v>707</v>
      </c>
      <c r="Q72" s="1">
        <v>1600</v>
      </c>
      <c r="R72" s="1">
        <v>1226</v>
      </c>
      <c r="S72" s="1">
        <v>1200</v>
      </c>
      <c r="T72" s="1">
        <v>940</v>
      </c>
      <c r="U72" s="1">
        <v>900</v>
      </c>
      <c r="V72" s="1">
        <v>218</v>
      </c>
      <c r="W72" s="1">
        <v>200</v>
      </c>
      <c r="AL72" s="1">
        <f t="shared" si="12"/>
        <v>4242</v>
      </c>
      <c r="AM72" s="1">
        <f t="shared" si="13"/>
        <v>4800</v>
      </c>
    </row>
    <row r="73" spans="1:39" x14ac:dyDescent="0.35">
      <c r="A73" s="1" t="s">
        <v>68</v>
      </c>
      <c r="B73" s="1">
        <v>140</v>
      </c>
      <c r="C73" s="1">
        <v>500</v>
      </c>
      <c r="D73" s="1">
        <v>573</v>
      </c>
      <c r="I73" s="1">
        <f t="shared" si="7"/>
        <v>0</v>
      </c>
      <c r="J73" s="1">
        <f t="shared" si="8"/>
        <v>0</v>
      </c>
      <c r="K73" s="1">
        <f t="shared" si="9"/>
        <v>0</v>
      </c>
      <c r="L73" s="1">
        <f t="shared" si="10"/>
        <v>0</v>
      </c>
      <c r="M73" s="1">
        <f t="shared" si="11"/>
        <v>573</v>
      </c>
      <c r="N73" s="1">
        <v>1296</v>
      </c>
      <c r="O73" s="1">
        <v>1500</v>
      </c>
      <c r="P73" s="1">
        <v>1089</v>
      </c>
      <c r="Q73" s="1">
        <v>1500</v>
      </c>
      <c r="R73" s="1">
        <v>1192</v>
      </c>
      <c r="S73" s="1">
        <v>1000</v>
      </c>
      <c r="T73" s="1">
        <v>786</v>
      </c>
      <c r="U73" s="1">
        <v>500</v>
      </c>
      <c r="V73" s="1">
        <v>224</v>
      </c>
      <c r="W73" s="1">
        <v>500</v>
      </c>
      <c r="AL73" s="1">
        <f t="shared" si="12"/>
        <v>4587</v>
      </c>
      <c r="AM73" s="1">
        <f t="shared" si="13"/>
        <v>5000</v>
      </c>
    </row>
    <row r="74" spans="1:39" x14ac:dyDescent="0.35">
      <c r="A74" s="1" t="s">
        <v>69</v>
      </c>
      <c r="B74" s="1">
        <v>78</v>
      </c>
      <c r="C74" s="1">
        <v>300</v>
      </c>
      <c r="D74" s="1">
        <v>272</v>
      </c>
      <c r="I74" s="1">
        <f t="shared" si="7"/>
        <v>0</v>
      </c>
      <c r="J74" s="1">
        <f t="shared" si="8"/>
        <v>0</v>
      </c>
      <c r="K74" s="1">
        <f t="shared" si="9"/>
        <v>0</v>
      </c>
      <c r="L74" s="1">
        <f t="shared" si="10"/>
        <v>0</v>
      </c>
      <c r="M74" s="1">
        <f t="shared" si="11"/>
        <v>272</v>
      </c>
      <c r="N74" s="1">
        <v>590</v>
      </c>
      <c r="O74" s="1">
        <v>1200</v>
      </c>
      <c r="P74" s="1">
        <v>1229</v>
      </c>
      <c r="Q74" s="1">
        <v>1500</v>
      </c>
      <c r="R74" s="1">
        <v>1219</v>
      </c>
      <c r="S74" s="1">
        <v>900</v>
      </c>
      <c r="T74" s="1">
        <v>1398</v>
      </c>
      <c r="U74" s="1">
        <v>1200</v>
      </c>
      <c r="V74" s="1">
        <v>691</v>
      </c>
      <c r="W74" s="1">
        <v>600</v>
      </c>
      <c r="AL74" s="1">
        <f t="shared" si="12"/>
        <v>5127</v>
      </c>
      <c r="AM74" s="1">
        <f t="shared" si="13"/>
        <v>5400</v>
      </c>
    </row>
    <row r="75" spans="1:39" x14ac:dyDescent="0.35">
      <c r="A75" s="1" t="s">
        <v>70</v>
      </c>
      <c r="B75" s="1">
        <v>66</v>
      </c>
      <c r="C75" s="1">
        <v>100</v>
      </c>
      <c r="D75" s="1">
        <v>151</v>
      </c>
      <c r="I75" s="1">
        <f t="shared" si="7"/>
        <v>0</v>
      </c>
      <c r="J75" s="1">
        <f t="shared" si="8"/>
        <v>0</v>
      </c>
      <c r="K75" s="1">
        <f t="shared" si="9"/>
        <v>0</v>
      </c>
      <c r="L75" s="1">
        <f t="shared" si="10"/>
        <v>0</v>
      </c>
      <c r="M75" s="1">
        <f t="shared" si="11"/>
        <v>151</v>
      </c>
      <c r="N75" s="1">
        <v>981</v>
      </c>
      <c r="O75" s="1">
        <v>1200</v>
      </c>
      <c r="P75" s="1">
        <v>774</v>
      </c>
      <c r="Q75" s="1">
        <v>1200</v>
      </c>
      <c r="R75" s="1">
        <v>929</v>
      </c>
      <c r="S75" s="1">
        <v>1300</v>
      </c>
      <c r="T75" s="1">
        <v>555</v>
      </c>
      <c r="U75" s="1">
        <v>1200</v>
      </c>
      <c r="V75" s="1">
        <v>773</v>
      </c>
      <c r="W75" s="1">
        <v>800</v>
      </c>
      <c r="AL75" s="1">
        <f t="shared" si="12"/>
        <v>4012</v>
      </c>
      <c r="AM75" s="1">
        <f t="shared" si="13"/>
        <v>5700</v>
      </c>
    </row>
    <row r="76" spans="1:39" x14ac:dyDescent="0.35">
      <c r="A76" s="1" t="s">
        <v>71</v>
      </c>
      <c r="B76" s="1">
        <v>129</v>
      </c>
      <c r="C76" s="1">
        <v>200</v>
      </c>
      <c r="D76" s="1">
        <v>197</v>
      </c>
      <c r="I76" s="1">
        <f t="shared" si="7"/>
        <v>0</v>
      </c>
      <c r="J76" s="1">
        <f t="shared" si="8"/>
        <v>0</v>
      </c>
      <c r="K76" s="1">
        <f t="shared" si="9"/>
        <v>0</v>
      </c>
      <c r="L76" s="1">
        <f t="shared" si="10"/>
        <v>0</v>
      </c>
      <c r="M76" s="1">
        <f t="shared" si="11"/>
        <v>197</v>
      </c>
      <c r="N76" s="1">
        <v>1430</v>
      </c>
      <c r="O76" s="1">
        <v>1200</v>
      </c>
      <c r="P76" s="1">
        <v>710</v>
      </c>
      <c r="Q76" s="1">
        <v>1000</v>
      </c>
      <c r="R76" s="1">
        <v>791</v>
      </c>
      <c r="S76" s="1">
        <v>800</v>
      </c>
      <c r="T76" s="1">
        <v>1024</v>
      </c>
      <c r="U76" s="1">
        <v>1000</v>
      </c>
      <c r="V76" s="1">
        <v>422</v>
      </c>
      <c r="W76" s="1">
        <v>400</v>
      </c>
      <c r="AL76" s="1">
        <f t="shared" si="12"/>
        <v>4377</v>
      </c>
      <c r="AM76" s="1">
        <f t="shared" si="13"/>
        <v>4400</v>
      </c>
    </row>
    <row r="77" spans="1:39" x14ac:dyDescent="0.35">
      <c r="A77" s="1" t="s">
        <v>72</v>
      </c>
      <c r="B77" s="1">
        <v>53</v>
      </c>
      <c r="C77" s="1">
        <v>300</v>
      </c>
      <c r="D77" s="1">
        <v>252</v>
      </c>
      <c r="I77" s="1">
        <f t="shared" si="7"/>
        <v>0</v>
      </c>
      <c r="J77" s="1">
        <f t="shared" si="8"/>
        <v>0</v>
      </c>
      <c r="K77" s="1">
        <f t="shared" si="9"/>
        <v>0</v>
      </c>
      <c r="L77" s="1">
        <f t="shared" si="10"/>
        <v>0</v>
      </c>
      <c r="M77" s="1">
        <f t="shared" si="11"/>
        <v>252</v>
      </c>
      <c r="N77" s="1">
        <v>1224</v>
      </c>
      <c r="O77" s="1">
        <v>900</v>
      </c>
      <c r="P77" s="1">
        <v>741</v>
      </c>
      <c r="Q77" s="1">
        <v>900</v>
      </c>
      <c r="R77" s="1">
        <v>787</v>
      </c>
      <c r="S77" s="1">
        <v>900</v>
      </c>
      <c r="T77" s="1">
        <v>972</v>
      </c>
      <c r="U77" s="1">
        <v>600</v>
      </c>
      <c r="V77" s="1">
        <v>352</v>
      </c>
      <c r="W77" s="1">
        <v>300</v>
      </c>
      <c r="AL77" s="1">
        <f t="shared" si="12"/>
        <v>4076</v>
      </c>
      <c r="AM77" s="1">
        <f t="shared" si="13"/>
        <v>3600</v>
      </c>
    </row>
    <row r="78" spans="1:39" x14ac:dyDescent="0.35">
      <c r="A78" s="1" t="s">
        <v>73</v>
      </c>
      <c r="B78" s="1">
        <v>39</v>
      </c>
      <c r="C78" s="1">
        <v>100</v>
      </c>
      <c r="D78" s="1">
        <v>100</v>
      </c>
      <c r="I78" s="1">
        <f t="shared" si="7"/>
        <v>0</v>
      </c>
      <c r="J78" s="1">
        <f t="shared" si="8"/>
        <v>0</v>
      </c>
      <c r="K78" s="1">
        <f t="shared" si="9"/>
        <v>0</v>
      </c>
      <c r="L78" s="1">
        <f t="shared" si="10"/>
        <v>0</v>
      </c>
      <c r="M78" s="1">
        <f t="shared" si="11"/>
        <v>100</v>
      </c>
      <c r="N78" s="1">
        <v>1017</v>
      </c>
      <c r="O78" s="1">
        <v>1200</v>
      </c>
      <c r="P78" s="1">
        <v>1034</v>
      </c>
      <c r="Q78" s="1">
        <v>900</v>
      </c>
      <c r="R78" s="1">
        <v>926</v>
      </c>
      <c r="S78" s="1">
        <v>1100</v>
      </c>
      <c r="T78" s="1">
        <v>769</v>
      </c>
      <c r="U78" s="1">
        <v>1000</v>
      </c>
      <c r="V78" s="1">
        <v>644</v>
      </c>
      <c r="W78" s="1">
        <v>700</v>
      </c>
      <c r="AL78" s="1">
        <f t="shared" si="12"/>
        <v>4390</v>
      </c>
      <c r="AM78" s="1">
        <f t="shared" si="13"/>
        <v>4900</v>
      </c>
    </row>
    <row r="79" spans="1:39" x14ac:dyDescent="0.35">
      <c r="A79" s="1" t="s">
        <v>74</v>
      </c>
      <c r="B79" s="1">
        <v>97</v>
      </c>
      <c r="C79" s="1">
        <v>500</v>
      </c>
      <c r="D79" s="1">
        <v>317</v>
      </c>
      <c r="I79" s="1">
        <f t="shared" si="7"/>
        <v>0</v>
      </c>
      <c r="J79" s="1">
        <f t="shared" si="8"/>
        <v>0</v>
      </c>
      <c r="K79" s="1">
        <f t="shared" si="9"/>
        <v>0</v>
      </c>
      <c r="L79" s="1">
        <f t="shared" si="10"/>
        <v>0</v>
      </c>
      <c r="M79" s="1">
        <f t="shared" si="11"/>
        <v>317</v>
      </c>
      <c r="N79" s="1">
        <v>812</v>
      </c>
      <c r="O79" s="1">
        <v>1000</v>
      </c>
      <c r="P79" s="1">
        <v>555</v>
      </c>
      <c r="Q79" s="1">
        <v>500</v>
      </c>
      <c r="R79" s="1">
        <v>1170</v>
      </c>
      <c r="S79" s="1">
        <v>1500</v>
      </c>
      <c r="T79" s="1">
        <v>468</v>
      </c>
      <c r="U79" s="1">
        <v>1000</v>
      </c>
      <c r="V79" s="1">
        <v>780</v>
      </c>
      <c r="W79" s="1">
        <v>1000</v>
      </c>
      <c r="AL79" s="1">
        <f t="shared" si="12"/>
        <v>3785</v>
      </c>
      <c r="AM79" s="1">
        <f t="shared" si="13"/>
        <v>5000</v>
      </c>
    </row>
    <row r="80" spans="1:39" x14ac:dyDescent="0.35">
      <c r="A80" s="1" t="s">
        <v>75</v>
      </c>
      <c r="B80" s="1">
        <v>129</v>
      </c>
      <c r="C80" s="1">
        <v>200</v>
      </c>
      <c r="D80" s="1">
        <v>291</v>
      </c>
      <c r="I80" s="1">
        <f t="shared" si="7"/>
        <v>0</v>
      </c>
      <c r="J80" s="1">
        <f t="shared" si="8"/>
        <v>0</v>
      </c>
      <c r="K80" s="1">
        <f t="shared" si="9"/>
        <v>0</v>
      </c>
      <c r="L80" s="1">
        <f t="shared" si="10"/>
        <v>0</v>
      </c>
      <c r="M80" s="1">
        <f t="shared" si="11"/>
        <v>291</v>
      </c>
      <c r="N80" s="1">
        <v>914</v>
      </c>
      <c r="O80" s="1">
        <v>1400</v>
      </c>
      <c r="P80" s="1">
        <v>1254</v>
      </c>
      <c r="Q80" s="1">
        <v>800</v>
      </c>
      <c r="R80" s="1">
        <v>1127</v>
      </c>
      <c r="S80" s="1">
        <v>800</v>
      </c>
      <c r="T80" s="1">
        <v>1203</v>
      </c>
      <c r="U80" s="1">
        <v>600</v>
      </c>
      <c r="V80" s="1">
        <v>683</v>
      </c>
      <c r="W80" s="1">
        <v>800</v>
      </c>
      <c r="AL80" s="1">
        <f t="shared" si="12"/>
        <v>5181</v>
      </c>
      <c r="AM80" s="1">
        <f t="shared" si="13"/>
        <v>4400</v>
      </c>
    </row>
    <row r="81" spans="1:39" x14ac:dyDescent="0.35">
      <c r="A81" s="1" t="s">
        <v>76</v>
      </c>
      <c r="B81" s="1">
        <v>94</v>
      </c>
      <c r="C81" s="1">
        <v>500</v>
      </c>
      <c r="D81" s="1">
        <v>189</v>
      </c>
      <c r="I81" s="1">
        <f t="shared" si="7"/>
        <v>0</v>
      </c>
      <c r="J81" s="1">
        <f t="shared" si="8"/>
        <v>0</v>
      </c>
      <c r="K81" s="1">
        <f t="shared" si="9"/>
        <v>0</v>
      </c>
      <c r="L81" s="1">
        <f t="shared" si="10"/>
        <v>0</v>
      </c>
      <c r="M81" s="1">
        <f t="shared" si="11"/>
        <v>189</v>
      </c>
      <c r="N81" s="1">
        <v>821</v>
      </c>
      <c r="O81" s="1">
        <v>1500</v>
      </c>
      <c r="P81" s="1">
        <v>662</v>
      </c>
      <c r="Q81" s="1">
        <v>500</v>
      </c>
      <c r="R81" s="1">
        <v>1232</v>
      </c>
      <c r="S81" s="1">
        <v>1000</v>
      </c>
      <c r="T81" s="1">
        <v>656</v>
      </c>
      <c r="U81" s="1">
        <v>1000</v>
      </c>
      <c r="V81" s="1">
        <v>641</v>
      </c>
      <c r="W81" s="1">
        <v>500</v>
      </c>
      <c r="AL81" s="1">
        <f t="shared" si="12"/>
        <v>4012</v>
      </c>
      <c r="AM81" s="1">
        <f t="shared" si="13"/>
        <v>4500</v>
      </c>
    </row>
    <row r="82" spans="1:39" x14ac:dyDescent="0.35">
      <c r="A82" s="1" t="s">
        <v>77</v>
      </c>
      <c r="B82" s="1">
        <v>146</v>
      </c>
      <c r="C82" s="1">
        <v>400</v>
      </c>
      <c r="D82" s="1">
        <v>327</v>
      </c>
      <c r="I82" s="1">
        <f t="shared" si="7"/>
        <v>0</v>
      </c>
      <c r="J82" s="1">
        <f t="shared" si="8"/>
        <v>0</v>
      </c>
      <c r="K82" s="1">
        <f t="shared" si="9"/>
        <v>0</v>
      </c>
      <c r="L82" s="1">
        <f t="shared" si="10"/>
        <v>0</v>
      </c>
      <c r="M82" s="1">
        <f t="shared" si="11"/>
        <v>327</v>
      </c>
      <c r="N82" s="1">
        <v>882</v>
      </c>
      <c r="O82" s="1">
        <v>1200</v>
      </c>
      <c r="P82" s="1">
        <v>1068</v>
      </c>
      <c r="Q82" s="1">
        <v>1200</v>
      </c>
      <c r="R82" s="1">
        <v>732</v>
      </c>
      <c r="S82" s="1">
        <v>1600</v>
      </c>
      <c r="T82" s="1">
        <v>879</v>
      </c>
      <c r="U82" s="1">
        <v>800</v>
      </c>
      <c r="V82" s="1">
        <v>620</v>
      </c>
      <c r="W82" s="1">
        <v>800</v>
      </c>
      <c r="AL82" s="1">
        <f t="shared" si="12"/>
        <v>4181</v>
      </c>
      <c r="AM82" s="1">
        <f t="shared" si="13"/>
        <v>5600</v>
      </c>
    </row>
    <row r="83" spans="1:39" x14ac:dyDescent="0.35">
      <c r="A83" s="1" t="s">
        <v>78</v>
      </c>
      <c r="B83" s="1">
        <v>52</v>
      </c>
      <c r="C83" s="1">
        <v>100</v>
      </c>
      <c r="D83" s="1">
        <v>133</v>
      </c>
      <c r="I83" s="1">
        <f t="shared" si="7"/>
        <v>0</v>
      </c>
      <c r="J83" s="1">
        <f t="shared" si="8"/>
        <v>0</v>
      </c>
      <c r="K83" s="1">
        <f t="shared" si="9"/>
        <v>0</v>
      </c>
      <c r="L83" s="1">
        <f t="shared" si="10"/>
        <v>0</v>
      </c>
      <c r="M83" s="1">
        <f t="shared" si="11"/>
        <v>133</v>
      </c>
      <c r="N83" s="1">
        <v>782</v>
      </c>
      <c r="O83" s="1">
        <v>1500</v>
      </c>
      <c r="P83" s="1">
        <v>974</v>
      </c>
      <c r="Q83" s="1">
        <v>300</v>
      </c>
      <c r="R83" s="1">
        <v>838</v>
      </c>
      <c r="S83" s="1">
        <v>1400</v>
      </c>
      <c r="T83" s="1">
        <v>772</v>
      </c>
      <c r="U83" s="1">
        <v>1100</v>
      </c>
      <c r="V83" s="1">
        <v>726</v>
      </c>
      <c r="W83" s="1">
        <v>800</v>
      </c>
      <c r="AL83" s="1">
        <f t="shared" si="12"/>
        <v>4092</v>
      </c>
      <c r="AM83" s="1">
        <f t="shared" si="13"/>
        <v>5100</v>
      </c>
    </row>
    <row r="84" spans="1:39" x14ac:dyDescent="0.35">
      <c r="A84" s="1" t="s">
        <v>79</v>
      </c>
      <c r="B84" s="1">
        <v>74</v>
      </c>
      <c r="C84" s="1">
        <v>400</v>
      </c>
      <c r="D84" s="1">
        <v>98</v>
      </c>
      <c r="I84" s="1">
        <f t="shared" si="7"/>
        <v>0</v>
      </c>
      <c r="J84" s="1">
        <f t="shared" si="8"/>
        <v>0</v>
      </c>
      <c r="K84" s="1">
        <f t="shared" si="9"/>
        <v>0</v>
      </c>
      <c r="L84" s="1">
        <f t="shared" si="10"/>
        <v>0</v>
      </c>
      <c r="M84" s="1">
        <f t="shared" si="11"/>
        <v>98</v>
      </c>
      <c r="N84" s="1">
        <v>806</v>
      </c>
      <c r="O84" s="1">
        <v>1200</v>
      </c>
      <c r="P84" s="1">
        <v>1139</v>
      </c>
      <c r="Q84" s="1">
        <v>800</v>
      </c>
      <c r="R84" s="1">
        <v>1235</v>
      </c>
      <c r="S84" s="1">
        <v>800</v>
      </c>
      <c r="T84" s="1">
        <v>1306</v>
      </c>
      <c r="U84" s="1">
        <v>800</v>
      </c>
      <c r="V84" s="1">
        <v>883</v>
      </c>
      <c r="W84" s="1">
        <v>800</v>
      </c>
      <c r="AL84" s="1">
        <f t="shared" si="12"/>
        <v>5369</v>
      </c>
      <c r="AM84" s="1">
        <f t="shared" si="13"/>
        <v>4400</v>
      </c>
    </row>
    <row r="85" spans="1:39" x14ac:dyDescent="0.35">
      <c r="A85" s="1" t="s">
        <v>80</v>
      </c>
      <c r="B85" s="1">
        <v>102</v>
      </c>
      <c r="C85" s="1">
        <v>400</v>
      </c>
      <c r="D85" s="1">
        <v>102</v>
      </c>
      <c r="I85" s="1">
        <f t="shared" si="7"/>
        <v>0</v>
      </c>
      <c r="J85" s="1">
        <f t="shared" si="8"/>
        <v>0</v>
      </c>
      <c r="K85" s="1">
        <f t="shared" si="9"/>
        <v>0</v>
      </c>
      <c r="L85" s="1">
        <f t="shared" si="10"/>
        <v>0</v>
      </c>
      <c r="M85" s="1">
        <f t="shared" si="11"/>
        <v>102</v>
      </c>
      <c r="N85" s="1">
        <v>1003</v>
      </c>
      <c r="O85" s="1">
        <v>800</v>
      </c>
      <c r="P85" s="1">
        <v>1572</v>
      </c>
      <c r="Q85" s="1">
        <v>800</v>
      </c>
      <c r="R85" s="1">
        <v>771</v>
      </c>
      <c r="S85" s="1">
        <v>1200</v>
      </c>
      <c r="T85" s="1">
        <v>867</v>
      </c>
      <c r="U85" s="1">
        <v>1200</v>
      </c>
      <c r="V85" s="1">
        <v>311</v>
      </c>
      <c r="W85" s="1">
        <v>0</v>
      </c>
      <c r="AL85" s="1">
        <f t="shared" si="12"/>
        <v>4524</v>
      </c>
      <c r="AM85" s="1">
        <f t="shared" si="13"/>
        <v>4000</v>
      </c>
    </row>
    <row r="86" spans="1:39" x14ac:dyDescent="0.35">
      <c r="A86" s="1" t="s">
        <v>81</v>
      </c>
      <c r="B86" s="1">
        <v>89</v>
      </c>
      <c r="C86" s="1">
        <v>500</v>
      </c>
      <c r="D86" s="1">
        <v>512</v>
      </c>
      <c r="I86" s="1">
        <f t="shared" si="7"/>
        <v>0</v>
      </c>
      <c r="J86" s="1">
        <f t="shared" si="8"/>
        <v>0</v>
      </c>
      <c r="K86" s="1">
        <f t="shared" si="9"/>
        <v>0</v>
      </c>
      <c r="L86" s="1">
        <f t="shared" si="10"/>
        <v>0</v>
      </c>
      <c r="M86" s="1">
        <f t="shared" si="11"/>
        <v>512</v>
      </c>
      <c r="N86" s="1">
        <v>1073</v>
      </c>
      <c r="O86" s="1">
        <v>1500</v>
      </c>
      <c r="P86" s="1">
        <v>508</v>
      </c>
      <c r="Q86" s="1">
        <v>1500</v>
      </c>
      <c r="R86" s="1">
        <v>1201</v>
      </c>
      <c r="S86" s="1">
        <v>1500</v>
      </c>
      <c r="T86" s="1">
        <v>951</v>
      </c>
      <c r="U86" s="1">
        <v>1000</v>
      </c>
      <c r="V86" s="1">
        <v>867</v>
      </c>
      <c r="W86" s="1">
        <v>1000</v>
      </c>
      <c r="AL86" s="1">
        <f t="shared" si="12"/>
        <v>4600</v>
      </c>
      <c r="AM86" s="1">
        <f t="shared" si="13"/>
        <v>6500</v>
      </c>
    </row>
    <row r="87" spans="1:39" x14ac:dyDescent="0.35">
      <c r="A87" s="1" t="s">
        <v>82</v>
      </c>
      <c r="B87" s="1">
        <v>12</v>
      </c>
      <c r="C87" s="1">
        <v>400</v>
      </c>
      <c r="D87" s="1">
        <v>340</v>
      </c>
      <c r="I87" s="1">
        <f t="shared" si="7"/>
        <v>0</v>
      </c>
      <c r="J87" s="1">
        <f t="shared" si="8"/>
        <v>0</v>
      </c>
      <c r="K87" s="1">
        <f t="shared" si="9"/>
        <v>0</v>
      </c>
      <c r="L87" s="1">
        <f t="shared" si="10"/>
        <v>0</v>
      </c>
      <c r="M87" s="1">
        <f t="shared" si="11"/>
        <v>340</v>
      </c>
      <c r="N87" s="1">
        <v>766</v>
      </c>
      <c r="O87" s="1">
        <v>2000</v>
      </c>
      <c r="P87" s="1">
        <v>849</v>
      </c>
      <c r="Q87" s="1">
        <v>800</v>
      </c>
      <c r="R87" s="1">
        <v>974</v>
      </c>
      <c r="S87" s="1">
        <v>800</v>
      </c>
      <c r="T87" s="1">
        <v>742</v>
      </c>
      <c r="U87" s="1">
        <v>800</v>
      </c>
      <c r="V87" s="1">
        <v>448</v>
      </c>
      <c r="W87" s="1">
        <v>400</v>
      </c>
      <c r="AL87" s="1">
        <f t="shared" si="12"/>
        <v>3779</v>
      </c>
      <c r="AM87" s="1">
        <f t="shared" si="13"/>
        <v>4800</v>
      </c>
    </row>
    <row r="88" spans="1:39" x14ac:dyDescent="0.35">
      <c r="A88" s="1" t="s">
        <v>83</v>
      </c>
      <c r="B88" s="1">
        <v>58</v>
      </c>
      <c r="C88" s="1">
        <v>300</v>
      </c>
      <c r="D88" s="1">
        <v>147</v>
      </c>
      <c r="I88" s="1">
        <f t="shared" si="7"/>
        <v>0</v>
      </c>
      <c r="J88" s="1">
        <f t="shared" si="8"/>
        <v>0</v>
      </c>
      <c r="K88" s="1">
        <f t="shared" si="9"/>
        <v>0</v>
      </c>
      <c r="L88" s="1">
        <f t="shared" si="10"/>
        <v>0</v>
      </c>
      <c r="M88" s="1">
        <f t="shared" si="11"/>
        <v>147</v>
      </c>
      <c r="N88" s="1">
        <v>581</v>
      </c>
      <c r="O88" s="1">
        <v>1500</v>
      </c>
      <c r="P88" s="1">
        <v>1075</v>
      </c>
      <c r="Q88" s="1">
        <v>900</v>
      </c>
      <c r="R88" s="1">
        <v>1138</v>
      </c>
      <c r="S88" s="1">
        <v>600</v>
      </c>
      <c r="T88" s="1">
        <v>942</v>
      </c>
      <c r="U88" s="1">
        <v>600</v>
      </c>
      <c r="V88" s="1">
        <v>479</v>
      </c>
      <c r="W88" s="1">
        <v>300</v>
      </c>
      <c r="AL88" s="1">
        <f t="shared" si="12"/>
        <v>4215</v>
      </c>
      <c r="AM88" s="1">
        <f t="shared" si="13"/>
        <v>3900</v>
      </c>
    </row>
    <row r="89" spans="1:39" x14ac:dyDescent="0.35">
      <c r="A89" s="1" t="s">
        <v>84</v>
      </c>
      <c r="B89" s="1">
        <v>103</v>
      </c>
      <c r="C89" s="1">
        <v>400</v>
      </c>
      <c r="D89" s="1">
        <v>105</v>
      </c>
      <c r="I89" s="1">
        <f t="shared" si="7"/>
        <v>0</v>
      </c>
      <c r="J89" s="1">
        <f t="shared" si="8"/>
        <v>0</v>
      </c>
      <c r="K89" s="1">
        <f t="shared" si="9"/>
        <v>0</v>
      </c>
      <c r="L89" s="1">
        <f t="shared" si="10"/>
        <v>0</v>
      </c>
      <c r="M89" s="1">
        <f t="shared" si="11"/>
        <v>105</v>
      </c>
      <c r="N89" s="1">
        <v>896</v>
      </c>
      <c r="O89" s="1">
        <v>1200</v>
      </c>
      <c r="P89" s="1">
        <v>1222</v>
      </c>
      <c r="Q89" s="1">
        <v>400</v>
      </c>
      <c r="R89" s="1">
        <v>938</v>
      </c>
      <c r="S89" s="1">
        <v>800</v>
      </c>
      <c r="T89" s="1">
        <v>502</v>
      </c>
      <c r="U89" s="1">
        <v>1200</v>
      </c>
      <c r="V89" s="1">
        <v>438</v>
      </c>
      <c r="W89" s="1">
        <v>400</v>
      </c>
      <c r="AL89" s="1">
        <f t="shared" si="12"/>
        <v>3996</v>
      </c>
      <c r="AM89" s="1">
        <f t="shared" si="13"/>
        <v>4000</v>
      </c>
    </row>
    <row r="90" spans="1:39" x14ac:dyDescent="0.35">
      <c r="A90" s="1" t="s">
        <v>85</v>
      </c>
      <c r="B90" s="1">
        <v>136</v>
      </c>
      <c r="C90" s="1">
        <v>500</v>
      </c>
      <c r="D90" s="1">
        <v>263</v>
      </c>
      <c r="I90" s="1">
        <f t="shared" si="7"/>
        <v>0</v>
      </c>
      <c r="J90" s="1">
        <f t="shared" si="8"/>
        <v>0</v>
      </c>
      <c r="K90" s="1">
        <f t="shared" si="9"/>
        <v>0</v>
      </c>
      <c r="L90" s="1">
        <f t="shared" si="10"/>
        <v>0</v>
      </c>
      <c r="M90" s="1">
        <f t="shared" si="11"/>
        <v>263</v>
      </c>
      <c r="N90" s="1">
        <v>1217</v>
      </c>
      <c r="O90" s="1">
        <v>1000</v>
      </c>
      <c r="P90" s="1">
        <v>1089</v>
      </c>
      <c r="Q90" s="1">
        <v>1000</v>
      </c>
      <c r="R90" s="1">
        <v>1369</v>
      </c>
      <c r="S90" s="1">
        <v>500</v>
      </c>
      <c r="T90" s="1">
        <v>1224</v>
      </c>
      <c r="U90" s="1">
        <v>1000</v>
      </c>
      <c r="V90" s="1">
        <v>524</v>
      </c>
      <c r="W90" s="1">
        <v>500</v>
      </c>
      <c r="AL90" s="1">
        <f t="shared" si="12"/>
        <v>5423</v>
      </c>
      <c r="AM90" s="1">
        <f t="shared" si="13"/>
        <v>4000</v>
      </c>
    </row>
    <row r="91" spans="1:39" x14ac:dyDescent="0.35">
      <c r="A91" s="1" t="s">
        <v>86</v>
      </c>
      <c r="B91" s="1">
        <v>16</v>
      </c>
      <c r="C91" s="1">
        <v>100</v>
      </c>
      <c r="D91" s="1">
        <v>111</v>
      </c>
      <c r="I91" s="1">
        <f t="shared" si="7"/>
        <v>0</v>
      </c>
      <c r="J91" s="1">
        <f t="shared" si="8"/>
        <v>0</v>
      </c>
      <c r="K91" s="1">
        <f t="shared" si="9"/>
        <v>0</v>
      </c>
      <c r="L91" s="1">
        <f t="shared" si="10"/>
        <v>0</v>
      </c>
      <c r="M91" s="1">
        <f t="shared" si="11"/>
        <v>111</v>
      </c>
      <c r="N91" s="1">
        <v>1280</v>
      </c>
      <c r="O91" s="1">
        <v>1100</v>
      </c>
      <c r="P91" s="1">
        <v>807</v>
      </c>
      <c r="Q91" s="1">
        <v>1500</v>
      </c>
      <c r="R91" s="1">
        <v>976</v>
      </c>
      <c r="S91" s="1">
        <v>900</v>
      </c>
      <c r="T91" s="1">
        <v>1296</v>
      </c>
      <c r="U91" s="1">
        <v>900</v>
      </c>
      <c r="V91" s="1">
        <v>751</v>
      </c>
      <c r="W91" s="1">
        <v>800</v>
      </c>
      <c r="AL91" s="1">
        <f t="shared" si="12"/>
        <v>5110</v>
      </c>
      <c r="AM91" s="1">
        <f t="shared" si="13"/>
        <v>5200</v>
      </c>
    </row>
    <row r="92" spans="1:39" x14ac:dyDescent="0.35">
      <c r="A92" s="1" t="s">
        <v>87</v>
      </c>
      <c r="B92" s="1">
        <v>71</v>
      </c>
      <c r="C92" s="1">
        <v>400</v>
      </c>
      <c r="D92" s="1">
        <v>105</v>
      </c>
      <c r="I92" s="1">
        <f t="shared" si="7"/>
        <v>0</v>
      </c>
      <c r="J92" s="1">
        <f t="shared" si="8"/>
        <v>0</v>
      </c>
      <c r="K92" s="1">
        <f t="shared" si="9"/>
        <v>0</v>
      </c>
      <c r="L92" s="1">
        <f t="shared" si="10"/>
        <v>0</v>
      </c>
      <c r="M92" s="1">
        <f t="shared" si="11"/>
        <v>105</v>
      </c>
      <c r="N92" s="1">
        <v>1101</v>
      </c>
      <c r="O92" s="1">
        <v>1200</v>
      </c>
      <c r="P92" s="1">
        <v>814</v>
      </c>
      <c r="Q92" s="1">
        <v>800</v>
      </c>
      <c r="R92" s="1">
        <v>921</v>
      </c>
      <c r="S92" s="1">
        <v>800</v>
      </c>
      <c r="T92" s="1">
        <v>1412</v>
      </c>
      <c r="U92" s="1">
        <v>800</v>
      </c>
      <c r="V92" s="1">
        <v>561</v>
      </c>
      <c r="W92" s="1">
        <v>400</v>
      </c>
      <c r="AL92" s="1">
        <f t="shared" si="12"/>
        <v>4809</v>
      </c>
      <c r="AM92" s="1">
        <f t="shared" si="13"/>
        <v>4000</v>
      </c>
    </row>
    <row r="93" spans="1:39" x14ac:dyDescent="0.35">
      <c r="A93" s="1" t="s">
        <v>88</v>
      </c>
      <c r="B93" s="1">
        <v>12</v>
      </c>
      <c r="C93" s="1">
        <v>400</v>
      </c>
      <c r="D93" s="1">
        <v>154</v>
      </c>
      <c r="I93" s="1">
        <f t="shared" si="7"/>
        <v>0</v>
      </c>
      <c r="J93" s="1">
        <f t="shared" si="8"/>
        <v>0</v>
      </c>
      <c r="K93" s="1">
        <f t="shared" si="9"/>
        <v>0</v>
      </c>
      <c r="L93" s="1">
        <f t="shared" si="10"/>
        <v>0</v>
      </c>
      <c r="M93" s="1">
        <f t="shared" si="11"/>
        <v>154</v>
      </c>
      <c r="N93" s="1">
        <v>704</v>
      </c>
      <c r="O93" s="1">
        <v>1200</v>
      </c>
      <c r="P93" s="1">
        <v>1496</v>
      </c>
      <c r="Q93" s="1">
        <v>400</v>
      </c>
      <c r="R93" s="1">
        <v>822</v>
      </c>
      <c r="S93" s="1">
        <v>800</v>
      </c>
      <c r="T93" s="1">
        <v>794</v>
      </c>
      <c r="U93" s="1">
        <v>1200</v>
      </c>
      <c r="V93" s="1">
        <v>976</v>
      </c>
      <c r="W93" s="1">
        <v>800</v>
      </c>
      <c r="AL93" s="1">
        <f t="shared" si="12"/>
        <v>4792</v>
      </c>
      <c r="AM93" s="1">
        <f t="shared" si="13"/>
        <v>4400</v>
      </c>
    </row>
    <row r="94" spans="1:39" x14ac:dyDescent="0.35">
      <c r="A94" s="1" t="s">
        <v>89</v>
      </c>
      <c r="B94" s="1">
        <v>91</v>
      </c>
      <c r="C94" s="1">
        <v>200</v>
      </c>
      <c r="D94" s="1">
        <v>240</v>
      </c>
      <c r="I94" s="1">
        <f t="shared" si="7"/>
        <v>0</v>
      </c>
      <c r="J94" s="1">
        <f t="shared" si="8"/>
        <v>0</v>
      </c>
      <c r="K94" s="1">
        <f t="shared" si="9"/>
        <v>0</v>
      </c>
      <c r="L94" s="1">
        <f t="shared" si="10"/>
        <v>0</v>
      </c>
      <c r="M94" s="1">
        <f t="shared" si="11"/>
        <v>240</v>
      </c>
      <c r="N94" s="1">
        <v>745</v>
      </c>
      <c r="O94" s="1">
        <v>1000</v>
      </c>
      <c r="P94" s="1">
        <v>583</v>
      </c>
      <c r="Q94" s="1">
        <v>800</v>
      </c>
      <c r="R94" s="1">
        <v>963</v>
      </c>
      <c r="S94" s="1">
        <v>1200</v>
      </c>
      <c r="T94" s="1">
        <v>301</v>
      </c>
      <c r="U94" s="1">
        <v>1200</v>
      </c>
      <c r="V94" s="1">
        <v>440</v>
      </c>
      <c r="W94" s="1">
        <v>400</v>
      </c>
      <c r="AL94" s="1">
        <f t="shared" si="12"/>
        <v>3032</v>
      </c>
      <c r="AM94" s="1">
        <f t="shared" si="13"/>
        <v>4600</v>
      </c>
    </row>
    <row r="95" spans="1:39" x14ac:dyDescent="0.35">
      <c r="A95" s="1" t="s">
        <v>90</v>
      </c>
      <c r="B95" s="1">
        <v>80</v>
      </c>
      <c r="C95" s="1">
        <v>400</v>
      </c>
      <c r="D95" s="1">
        <v>122</v>
      </c>
      <c r="I95" s="1">
        <f t="shared" si="7"/>
        <v>0</v>
      </c>
      <c r="J95" s="1">
        <f t="shared" si="8"/>
        <v>0</v>
      </c>
      <c r="K95" s="1">
        <f t="shared" si="9"/>
        <v>0</v>
      </c>
      <c r="L95" s="1">
        <f t="shared" si="10"/>
        <v>0</v>
      </c>
      <c r="M95" s="1">
        <f t="shared" si="11"/>
        <v>122</v>
      </c>
      <c r="N95" s="1">
        <v>1148</v>
      </c>
      <c r="O95" s="1">
        <v>1200</v>
      </c>
      <c r="P95" s="1">
        <v>530</v>
      </c>
      <c r="Q95" s="1">
        <v>400</v>
      </c>
      <c r="R95" s="1">
        <v>1107</v>
      </c>
      <c r="S95" s="1">
        <v>800</v>
      </c>
      <c r="T95" s="1">
        <v>975</v>
      </c>
      <c r="U95" s="1">
        <v>400</v>
      </c>
      <c r="V95" s="1">
        <v>482</v>
      </c>
      <c r="W95" s="1">
        <v>400</v>
      </c>
      <c r="AL95" s="1">
        <f t="shared" si="12"/>
        <v>4242</v>
      </c>
      <c r="AM95" s="1">
        <f t="shared" si="13"/>
        <v>3200</v>
      </c>
    </row>
    <row r="96" spans="1:39" x14ac:dyDescent="0.35">
      <c r="A96" s="1" t="s">
        <v>91</v>
      </c>
      <c r="B96" s="1">
        <v>133</v>
      </c>
      <c r="C96" s="1">
        <v>100</v>
      </c>
      <c r="D96" s="1">
        <v>168</v>
      </c>
      <c r="I96" s="1">
        <f t="shared" si="7"/>
        <v>0</v>
      </c>
      <c r="J96" s="1">
        <f t="shared" si="8"/>
        <v>0</v>
      </c>
      <c r="K96" s="1">
        <f t="shared" si="9"/>
        <v>0</v>
      </c>
      <c r="L96" s="1">
        <f t="shared" si="10"/>
        <v>0</v>
      </c>
      <c r="M96" s="1">
        <f t="shared" si="11"/>
        <v>168</v>
      </c>
      <c r="N96" s="1">
        <v>899</v>
      </c>
      <c r="O96" s="1">
        <v>1000</v>
      </c>
      <c r="P96" s="1">
        <v>585</v>
      </c>
      <c r="Q96" s="1">
        <v>1000</v>
      </c>
      <c r="R96" s="1">
        <v>1465</v>
      </c>
      <c r="S96" s="1">
        <v>500</v>
      </c>
      <c r="T96" s="1">
        <v>907</v>
      </c>
      <c r="U96" s="1">
        <v>1200</v>
      </c>
      <c r="V96" s="1">
        <v>692</v>
      </c>
      <c r="W96" s="1">
        <v>700</v>
      </c>
      <c r="AL96" s="1">
        <f t="shared" si="12"/>
        <v>4548</v>
      </c>
      <c r="AM96" s="1">
        <f t="shared" si="13"/>
        <v>4400</v>
      </c>
    </row>
    <row r="97" spans="1:39" x14ac:dyDescent="0.35">
      <c r="A97" s="1" t="s">
        <v>92</v>
      </c>
      <c r="B97" s="1">
        <v>24</v>
      </c>
      <c r="C97" s="1">
        <v>500</v>
      </c>
      <c r="D97" s="1">
        <v>188</v>
      </c>
      <c r="I97" s="1">
        <f t="shared" si="7"/>
        <v>0</v>
      </c>
      <c r="J97" s="1">
        <f t="shared" si="8"/>
        <v>0</v>
      </c>
      <c r="K97" s="1">
        <f t="shared" si="9"/>
        <v>0</v>
      </c>
      <c r="L97" s="1">
        <f t="shared" si="10"/>
        <v>0</v>
      </c>
      <c r="M97" s="1">
        <f t="shared" si="11"/>
        <v>188</v>
      </c>
      <c r="N97" s="1">
        <v>1671</v>
      </c>
      <c r="O97" s="1">
        <v>1500</v>
      </c>
      <c r="P97" s="1">
        <v>1069</v>
      </c>
      <c r="Q97" s="1">
        <v>500</v>
      </c>
      <c r="R97" s="1">
        <v>877</v>
      </c>
      <c r="S97" s="1">
        <v>500</v>
      </c>
      <c r="T97" s="1">
        <v>1317</v>
      </c>
      <c r="U97" s="1">
        <v>1000</v>
      </c>
      <c r="V97" s="1">
        <v>393</v>
      </c>
      <c r="W97" s="1">
        <v>500</v>
      </c>
      <c r="AL97" s="1">
        <f t="shared" si="12"/>
        <v>5327</v>
      </c>
      <c r="AM97" s="1">
        <f t="shared" si="13"/>
        <v>4000</v>
      </c>
    </row>
    <row r="98" spans="1:39" x14ac:dyDescent="0.35">
      <c r="A98" s="1" t="s">
        <v>93</v>
      </c>
      <c r="B98" s="1">
        <v>111</v>
      </c>
      <c r="C98" s="1">
        <v>300</v>
      </c>
      <c r="D98" s="1">
        <v>227</v>
      </c>
      <c r="I98" s="1">
        <f t="shared" si="7"/>
        <v>0</v>
      </c>
      <c r="J98" s="1">
        <f t="shared" si="8"/>
        <v>0</v>
      </c>
      <c r="K98" s="1">
        <f t="shared" si="9"/>
        <v>0</v>
      </c>
      <c r="L98" s="1">
        <f t="shared" si="10"/>
        <v>0</v>
      </c>
      <c r="M98" s="1">
        <f t="shared" si="11"/>
        <v>227</v>
      </c>
      <c r="N98" s="1">
        <v>1023</v>
      </c>
      <c r="O98" s="1">
        <v>1200</v>
      </c>
      <c r="P98" s="1">
        <v>1654</v>
      </c>
      <c r="Q98" s="1">
        <v>1200</v>
      </c>
      <c r="R98" s="1">
        <v>1217</v>
      </c>
      <c r="S98" s="1">
        <v>900</v>
      </c>
      <c r="T98" s="1">
        <v>1291</v>
      </c>
      <c r="U98" s="1">
        <v>900</v>
      </c>
      <c r="V98" s="1">
        <v>329</v>
      </c>
      <c r="W98" s="1">
        <v>300</v>
      </c>
      <c r="AL98" s="1">
        <f t="shared" si="12"/>
        <v>5514</v>
      </c>
      <c r="AM98" s="1">
        <f t="shared" si="13"/>
        <v>4500</v>
      </c>
    </row>
    <row r="99" spans="1:39" x14ac:dyDescent="0.35">
      <c r="A99" s="1" t="s">
        <v>94</v>
      </c>
      <c r="B99" s="1">
        <v>131</v>
      </c>
      <c r="C99" s="1">
        <v>200</v>
      </c>
      <c r="D99" s="1">
        <v>217</v>
      </c>
      <c r="I99" s="1">
        <f t="shared" si="7"/>
        <v>0</v>
      </c>
      <c r="J99" s="1">
        <f t="shared" si="8"/>
        <v>0</v>
      </c>
      <c r="K99" s="1">
        <f t="shared" si="9"/>
        <v>0</v>
      </c>
      <c r="L99" s="1">
        <f t="shared" si="10"/>
        <v>0</v>
      </c>
      <c r="M99" s="1">
        <f t="shared" si="11"/>
        <v>217</v>
      </c>
      <c r="N99" s="1">
        <v>798</v>
      </c>
      <c r="O99" s="1">
        <v>1400</v>
      </c>
      <c r="P99" s="1">
        <v>913</v>
      </c>
      <c r="Q99" s="1">
        <v>400</v>
      </c>
      <c r="R99" s="1">
        <v>1074</v>
      </c>
      <c r="S99" s="1">
        <v>800</v>
      </c>
      <c r="T99" s="1">
        <v>1013</v>
      </c>
      <c r="U99" s="1">
        <v>1400</v>
      </c>
      <c r="V99" s="1">
        <v>585</v>
      </c>
      <c r="W99" s="1">
        <v>600</v>
      </c>
      <c r="AL99" s="1">
        <f t="shared" si="12"/>
        <v>4383</v>
      </c>
      <c r="AM99" s="1">
        <f t="shared" si="13"/>
        <v>4600</v>
      </c>
    </row>
    <row r="100" spans="1:39" x14ac:dyDescent="0.35">
      <c r="A100" s="1" t="s">
        <v>95</v>
      </c>
      <c r="B100" s="1">
        <v>30</v>
      </c>
      <c r="C100" s="1">
        <v>400</v>
      </c>
      <c r="D100" s="1">
        <v>364</v>
      </c>
      <c r="I100" s="1">
        <f t="shared" si="7"/>
        <v>0</v>
      </c>
      <c r="J100" s="1">
        <f t="shared" si="8"/>
        <v>0</v>
      </c>
      <c r="K100" s="1">
        <f t="shared" si="9"/>
        <v>0</v>
      </c>
      <c r="L100" s="1">
        <f t="shared" si="10"/>
        <v>0</v>
      </c>
      <c r="M100" s="1">
        <f t="shared" si="11"/>
        <v>364</v>
      </c>
      <c r="N100" s="1">
        <v>1596</v>
      </c>
      <c r="O100" s="1">
        <v>800</v>
      </c>
      <c r="P100" s="1">
        <v>897</v>
      </c>
      <c r="Q100" s="1">
        <v>1200</v>
      </c>
      <c r="R100" s="1">
        <v>1660</v>
      </c>
      <c r="S100" s="1">
        <v>800</v>
      </c>
      <c r="T100" s="1">
        <v>1024</v>
      </c>
      <c r="U100" s="1">
        <v>1200</v>
      </c>
      <c r="V100" s="1">
        <v>434</v>
      </c>
      <c r="W100" s="1">
        <v>400</v>
      </c>
      <c r="AL100" s="1">
        <f t="shared" si="12"/>
        <v>5611</v>
      </c>
      <c r="AM100" s="1">
        <f t="shared" si="13"/>
        <v>4400</v>
      </c>
    </row>
    <row r="101" spans="1:39" x14ac:dyDescent="0.35">
      <c r="A101" s="1" t="s">
        <v>96</v>
      </c>
      <c r="B101" s="1">
        <v>49</v>
      </c>
      <c r="C101" s="1">
        <v>500</v>
      </c>
      <c r="D101" s="1">
        <v>302</v>
      </c>
      <c r="I101" s="1">
        <f t="shared" si="7"/>
        <v>0</v>
      </c>
      <c r="J101" s="1">
        <f t="shared" si="8"/>
        <v>0</v>
      </c>
      <c r="K101" s="1">
        <f t="shared" si="9"/>
        <v>0</v>
      </c>
      <c r="L101" s="1">
        <f t="shared" si="10"/>
        <v>0</v>
      </c>
      <c r="M101" s="1">
        <f t="shared" si="11"/>
        <v>302</v>
      </c>
      <c r="N101" s="1">
        <v>1185</v>
      </c>
      <c r="O101" s="1">
        <v>1000</v>
      </c>
      <c r="P101" s="1">
        <v>1630</v>
      </c>
      <c r="Q101" s="1">
        <v>0</v>
      </c>
      <c r="R101" s="1">
        <v>1032</v>
      </c>
      <c r="S101" s="1">
        <v>1000</v>
      </c>
      <c r="T101" s="1">
        <v>575</v>
      </c>
      <c r="U101" s="1">
        <v>1000</v>
      </c>
      <c r="V101" s="1">
        <v>379</v>
      </c>
      <c r="W101" s="1">
        <v>500</v>
      </c>
      <c r="AL101" s="1">
        <f t="shared" si="12"/>
        <v>4801</v>
      </c>
      <c r="AM101" s="1">
        <f t="shared" si="13"/>
        <v>3500</v>
      </c>
    </row>
    <row r="102" spans="1:39" x14ac:dyDescent="0.35">
      <c r="A102" s="1" t="s">
        <v>97</v>
      </c>
      <c r="B102" s="1">
        <v>21</v>
      </c>
      <c r="C102" s="1">
        <v>200</v>
      </c>
      <c r="D102" s="1">
        <v>148</v>
      </c>
      <c r="I102" s="1">
        <f t="shared" si="7"/>
        <v>0</v>
      </c>
      <c r="J102" s="1">
        <f t="shared" si="8"/>
        <v>0</v>
      </c>
      <c r="K102" s="1">
        <f t="shared" si="9"/>
        <v>0</v>
      </c>
      <c r="L102" s="1">
        <f t="shared" si="10"/>
        <v>0</v>
      </c>
      <c r="M102" s="1">
        <f t="shared" si="11"/>
        <v>148</v>
      </c>
      <c r="N102" s="1">
        <v>1823</v>
      </c>
      <c r="O102" s="1">
        <v>1400</v>
      </c>
      <c r="P102" s="1">
        <v>927</v>
      </c>
      <c r="Q102" s="1">
        <v>1400</v>
      </c>
      <c r="R102" s="1">
        <v>730</v>
      </c>
      <c r="S102" s="1">
        <v>1600</v>
      </c>
      <c r="T102" s="1">
        <v>979</v>
      </c>
      <c r="U102" s="1">
        <v>1000</v>
      </c>
      <c r="V102" s="1">
        <v>537</v>
      </c>
      <c r="W102" s="1">
        <v>600</v>
      </c>
      <c r="AL102" s="1">
        <f t="shared" si="12"/>
        <v>4996</v>
      </c>
      <c r="AM102" s="1">
        <f t="shared" si="13"/>
        <v>6000</v>
      </c>
    </row>
    <row r="103" spans="1:39" x14ac:dyDescent="0.35">
      <c r="A103" s="1" t="s">
        <v>98</v>
      </c>
      <c r="B103" s="1">
        <v>79</v>
      </c>
      <c r="C103" s="1">
        <v>400</v>
      </c>
      <c r="D103" s="1">
        <v>298</v>
      </c>
      <c r="I103" s="1">
        <f t="shared" si="7"/>
        <v>0</v>
      </c>
      <c r="J103" s="1">
        <f t="shared" si="8"/>
        <v>0</v>
      </c>
      <c r="K103" s="1">
        <f t="shared" si="9"/>
        <v>0</v>
      </c>
      <c r="L103" s="1">
        <f t="shared" si="10"/>
        <v>0</v>
      </c>
      <c r="M103" s="1">
        <f t="shared" si="11"/>
        <v>298</v>
      </c>
      <c r="N103" s="1">
        <v>1099</v>
      </c>
      <c r="O103" s="1">
        <v>1600</v>
      </c>
      <c r="P103" s="1">
        <v>1088</v>
      </c>
      <c r="Q103" s="1">
        <v>1600</v>
      </c>
      <c r="R103" s="1">
        <v>513</v>
      </c>
      <c r="S103" s="1">
        <v>1200</v>
      </c>
      <c r="T103" s="1">
        <v>1090</v>
      </c>
      <c r="U103" s="1">
        <v>1200</v>
      </c>
      <c r="V103" s="1">
        <v>518</v>
      </c>
      <c r="W103" s="1">
        <v>400</v>
      </c>
      <c r="AL103" s="1">
        <f t="shared" si="12"/>
        <v>4308</v>
      </c>
      <c r="AM103" s="1">
        <f t="shared" si="13"/>
        <v>6000</v>
      </c>
    </row>
    <row r="104" spans="1:39" x14ac:dyDescent="0.35">
      <c r="A104" s="1" t="s">
        <v>99</v>
      </c>
      <c r="B104" s="1">
        <v>143</v>
      </c>
      <c r="C104" s="1">
        <v>100</v>
      </c>
      <c r="D104" s="1">
        <v>203</v>
      </c>
      <c r="I104" s="1">
        <f t="shared" si="7"/>
        <v>0</v>
      </c>
      <c r="J104" s="1">
        <f t="shared" si="8"/>
        <v>0</v>
      </c>
      <c r="K104" s="1">
        <f t="shared" si="9"/>
        <v>0</v>
      </c>
      <c r="L104" s="1">
        <f t="shared" si="10"/>
        <v>0</v>
      </c>
      <c r="M104" s="1">
        <f t="shared" si="11"/>
        <v>203</v>
      </c>
      <c r="N104" s="1">
        <v>1041</v>
      </c>
      <c r="O104" s="1">
        <v>900</v>
      </c>
      <c r="P104" s="1">
        <v>694</v>
      </c>
      <c r="Q104" s="1">
        <v>1200</v>
      </c>
      <c r="R104" s="1">
        <v>1040</v>
      </c>
      <c r="S104" s="1">
        <v>900</v>
      </c>
      <c r="T104" s="1">
        <v>1126</v>
      </c>
      <c r="U104" s="1">
        <v>600</v>
      </c>
      <c r="V104" s="1">
        <v>838</v>
      </c>
      <c r="W104" s="1">
        <v>800</v>
      </c>
      <c r="AL104" s="1">
        <f t="shared" si="12"/>
        <v>4739</v>
      </c>
      <c r="AM104" s="1">
        <f t="shared" si="13"/>
        <v>4400</v>
      </c>
    </row>
    <row r="105" spans="1:39" x14ac:dyDescent="0.35">
      <c r="A105" s="1" t="s">
        <v>100</v>
      </c>
      <c r="B105" s="1">
        <v>84</v>
      </c>
      <c r="C105" s="1">
        <v>300</v>
      </c>
      <c r="D105" s="1">
        <v>190</v>
      </c>
      <c r="I105" s="1">
        <f t="shared" si="7"/>
        <v>0</v>
      </c>
      <c r="J105" s="1">
        <f t="shared" si="8"/>
        <v>0</v>
      </c>
      <c r="K105" s="1">
        <f t="shared" si="9"/>
        <v>0</v>
      </c>
      <c r="L105" s="1">
        <f t="shared" si="10"/>
        <v>0</v>
      </c>
      <c r="M105" s="1">
        <f t="shared" si="11"/>
        <v>190</v>
      </c>
      <c r="N105" s="1">
        <v>466</v>
      </c>
      <c r="O105" s="1">
        <v>900</v>
      </c>
      <c r="P105" s="1">
        <v>1351</v>
      </c>
      <c r="Q105" s="1">
        <v>1200</v>
      </c>
      <c r="R105" s="1">
        <v>903</v>
      </c>
      <c r="S105" s="1">
        <v>900</v>
      </c>
      <c r="T105" s="1">
        <v>1188</v>
      </c>
      <c r="U105" s="1">
        <v>600</v>
      </c>
      <c r="V105" s="1">
        <v>959</v>
      </c>
      <c r="W105" s="1">
        <v>900</v>
      </c>
      <c r="AL105" s="1">
        <f t="shared" si="12"/>
        <v>4867</v>
      </c>
      <c r="AM105" s="1">
        <f t="shared" si="13"/>
        <v>4500</v>
      </c>
    </row>
    <row r="106" spans="1:39" x14ac:dyDescent="0.35">
      <c r="A106" s="1" t="s">
        <v>101</v>
      </c>
      <c r="B106" s="1">
        <v>108</v>
      </c>
      <c r="C106" s="1">
        <v>300</v>
      </c>
      <c r="D106" s="1">
        <v>381</v>
      </c>
      <c r="I106" s="1">
        <f t="shared" si="7"/>
        <v>0</v>
      </c>
      <c r="J106" s="1">
        <f t="shared" si="8"/>
        <v>0</v>
      </c>
      <c r="K106" s="1">
        <f t="shared" si="9"/>
        <v>0</v>
      </c>
      <c r="L106" s="1">
        <f t="shared" si="10"/>
        <v>0</v>
      </c>
      <c r="M106" s="1">
        <f t="shared" si="11"/>
        <v>381</v>
      </c>
      <c r="N106" s="1">
        <v>1185</v>
      </c>
      <c r="O106" s="1">
        <v>1200</v>
      </c>
      <c r="P106" s="1">
        <v>300</v>
      </c>
      <c r="Q106" s="1">
        <v>900</v>
      </c>
      <c r="R106" s="1">
        <v>835</v>
      </c>
      <c r="S106" s="1">
        <v>1500</v>
      </c>
      <c r="T106" s="1">
        <v>1282</v>
      </c>
      <c r="U106" s="1">
        <v>900</v>
      </c>
      <c r="V106" s="1">
        <v>475</v>
      </c>
      <c r="W106" s="1">
        <v>600</v>
      </c>
      <c r="AL106" s="1">
        <f t="shared" si="12"/>
        <v>4077</v>
      </c>
      <c r="AM106" s="1">
        <f t="shared" si="13"/>
        <v>5100</v>
      </c>
    </row>
    <row r="107" spans="1:39" x14ac:dyDescent="0.35">
      <c r="A107" s="1" t="s">
        <v>102</v>
      </c>
      <c r="B107" s="1">
        <v>83</v>
      </c>
      <c r="C107" s="1">
        <v>500</v>
      </c>
      <c r="D107" s="1">
        <v>176</v>
      </c>
      <c r="I107" s="1">
        <f t="shared" si="7"/>
        <v>0</v>
      </c>
      <c r="J107" s="1">
        <f t="shared" si="8"/>
        <v>0</v>
      </c>
      <c r="K107" s="1">
        <f t="shared" si="9"/>
        <v>0</v>
      </c>
      <c r="L107" s="1">
        <f t="shared" si="10"/>
        <v>0</v>
      </c>
      <c r="M107" s="1">
        <f t="shared" si="11"/>
        <v>176</v>
      </c>
      <c r="N107" s="1">
        <v>258</v>
      </c>
      <c r="O107" s="1">
        <v>1000</v>
      </c>
      <c r="P107" s="1">
        <v>1292</v>
      </c>
      <c r="Q107" s="1">
        <v>1000</v>
      </c>
      <c r="R107" s="1">
        <v>862</v>
      </c>
      <c r="S107" s="1">
        <v>1000</v>
      </c>
      <c r="T107" s="1">
        <v>620</v>
      </c>
      <c r="U107" s="1">
        <v>1000</v>
      </c>
      <c r="V107" s="1">
        <v>452</v>
      </c>
      <c r="W107" s="1">
        <v>500</v>
      </c>
      <c r="AL107" s="1">
        <f t="shared" si="12"/>
        <v>3484</v>
      </c>
      <c r="AM107" s="1">
        <f t="shared" si="13"/>
        <v>4500</v>
      </c>
    </row>
    <row r="108" spans="1:39" x14ac:dyDescent="0.35">
      <c r="A108" s="1" t="s">
        <v>103</v>
      </c>
      <c r="B108" s="1">
        <v>136</v>
      </c>
      <c r="C108" s="1">
        <v>500</v>
      </c>
      <c r="D108" s="1">
        <v>223</v>
      </c>
      <c r="I108" s="1">
        <f t="shared" si="7"/>
        <v>0</v>
      </c>
      <c r="J108" s="1">
        <f t="shared" si="8"/>
        <v>0</v>
      </c>
      <c r="K108" s="1">
        <f t="shared" si="9"/>
        <v>0</v>
      </c>
      <c r="L108" s="1">
        <f t="shared" si="10"/>
        <v>0</v>
      </c>
      <c r="M108" s="1">
        <f t="shared" si="11"/>
        <v>223</v>
      </c>
      <c r="N108" s="1">
        <v>1228</v>
      </c>
      <c r="O108" s="1">
        <v>1500</v>
      </c>
      <c r="P108" s="1">
        <v>578</v>
      </c>
      <c r="Q108" s="1">
        <v>1500</v>
      </c>
      <c r="R108" s="1">
        <v>710</v>
      </c>
      <c r="S108" s="1">
        <v>2000</v>
      </c>
      <c r="T108" s="1">
        <v>1258</v>
      </c>
      <c r="U108" s="1">
        <v>1000</v>
      </c>
      <c r="V108" s="1">
        <v>691</v>
      </c>
      <c r="W108" s="1">
        <v>500</v>
      </c>
      <c r="AL108" s="1">
        <f t="shared" si="12"/>
        <v>4465</v>
      </c>
      <c r="AM108" s="1">
        <f t="shared" si="13"/>
        <v>6500</v>
      </c>
    </row>
    <row r="109" spans="1:39" x14ac:dyDescent="0.35">
      <c r="A109" s="1" t="s">
        <v>104</v>
      </c>
      <c r="B109" s="1">
        <v>35</v>
      </c>
      <c r="C109" s="1">
        <v>100</v>
      </c>
      <c r="D109" s="1">
        <v>48</v>
      </c>
      <c r="I109" s="1">
        <f t="shared" si="7"/>
        <v>0</v>
      </c>
      <c r="J109" s="1">
        <f t="shared" si="8"/>
        <v>0</v>
      </c>
      <c r="K109" s="1">
        <f t="shared" si="9"/>
        <v>0</v>
      </c>
      <c r="L109" s="1">
        <f t="shared" si="10"/>
        <v>0</v>
      </c>
      <c r="M109" s="1">
        <f t="shared" si="11"/>
        <v>48</v>
      </c>
      <c r="N109" s="1">
        <v>510</v>
      </c>
      <c r="O109" s="1">
        <v>1300</v>
      </c>
      <c r="P109" s="1">
        <v>1151</v>
      </c>
      <c r="Q109" s="1">
        <v>600</v>
      </c>
      <c r="R109" s="1">
        <v>554</v>
      </c>
      <c r="S109" s="1">
        <v>1200</v>
      </c>
      <c r="T109" s="1">
        <v>1298</v>
      </c>
      <c r="U109" s="1">
        <v>700</v>
      </c>
      <c r="V109" s="1">
        <v>486</v>
      </c>
      <c r="W109" s="1">
        <v>400</v>
      </c>
      <c r="AL109" s="1">
        <f t="shared" si="12"/>
        <v>3999</v>
      </c>
      <c r="AM109" s="1">
        <f t="shared" si="13"/>
        <v>4200</v>
      </c>
    </row>
    <row r="110" spans="1:39" x14ac:dyDescent="0.35">
      <c r="A110" s="1" t="s">
        <v>105</v>
      </c>
      <c r="B110" s="1">
        <v>84</v>
      </c>
      <c r="C110" s="1">
        <v>100</v>
      </c>
      <c r="D110" s="1">
        <v>171</v>
      </c>
      <c r="I110" s="1">
        <f t="shared" si="7"/>
        <v>0</v>
      </c>
      <c r="J110" s="1">
        <f t="shared" si="8"/>
        <v>0</v>
      </c>
      <c r="K110" s="1">
        <f t="shared" si="9"/>
        <v>0</v>
      </c>
      <c r="L110" s="1">
        <f t="shared" si="10"/>
        <v>0</v>
      </c>
      <c r="M110" s="1">
        <f t="shared" si="11"/>
        <v>171</v>
      </c>
      <c r="N110" s="1">
        <v>1141</v>
      </c>
      <c r="O110" s="1">
        <v>1300</v>
      </c>
      <c r="P110" s="1">
        <v>934</v>
      </c>
      <c r="Q110" s="1">
        <v>1600</v>
      </c>
      <c r="R110" s="1">
        <v>686</v>
      </c>
      <c r="S110" s="1">
        <v>1600</v>
      </c>
      <c r="T110" s="1">
        <v>1293</v>
      </c>
      <c r="U110" s="1">
        <v>1000</v>
      </c>
      <c r="V110" s="1">
        <v>546</v>
      </c>
      <c r="W110" s="1">
        <v>600</v>
      </c>
      <c r="AL110" s="1">
        <f t="shared" si="12"/>
        <v>4600</v>
      </c>
      <c r="AM110" s="1">
        <f t="shared" si="13"/>
        <v>6100</v>
      </c>
    </row>
    <row r="111" spans="1:39" x14ac:dyDescent="0.35">
      <c r="A111" s="1" t="s">
        <v>106</v>
      </c>
      <c r="B111" s="1">
        <v>41</v>
      </c>
      <c r="C111" s="1">
        <v>500</v>
      </c>
      <c r="D111" s="1">
        <v>226</v>
      </c>
      <c r="I111" s="1">
        <f t="shared" si="7"/>
        <v>0</v>
      </c>
      <c r="J111" s="1">
        <f t="shared" si="8"/>
        <v>0</v>
      </c>
      <c r="K111" s="1">
        <f t="shared" si="9"/>
        <v>0</v>
      </c>
      <c r="L111" s="1">
        <f t="shared" si="10"/>
        <v>0</v>
      </c>
      <c r="M111" s="1">
        <f t="shared" si="11"/>
        <v>226</v>
      </c>
      <c r="N111" s="1">
        <v>1212</v>
      </c>
      <c r="O111" s="1">
        <v>1000</v>
      </c>
      <c r="P111" s="1">
        <v>1241</v>
      </c>
      <c r="Q111" s="1">
        <v>1500</v>
      </c>
      <c r="R111" s="1">
        <v>1149</v>
      </c>
      <c r="S111" s="1">
        <v>1000</v>
      </c>
      <c r="T111" s="1">
        <v>1427</v>
      </c>
      <c r="U111" s="1">
        <v>500</v>
      </c>
      <c r="V111" s="1">
        <v>814</v>
      </c>
      <c r="W111" s="1">
        <v>500</v>
      </c>
      <c r="AL111" s="1">
        <f t="shared" si="12"/>
        <v>5843</v>
      </c>
      <c r="AM111" s="1">
        <f t="shared" si="13"/>
        <v>4500</v>
      </c>
    </row>
    <row r="112" spans="1:39" x14ac:dyDescent="0.35">
      <c r="A112" s="1" t="s">
        <v>107</v>
      </c>
      <c r="B112" s="1">
        <v>95</v>
      </c>
      <c r="C112" s="1">
        <v>200</v>
      </c>
      <c r="D112" s="1">
        <v>142</v>
      </c>
      <c r="I112" s="1">
        <f t="shared" si="7"/>
        <v>0</v>
      </c>
      <c r="J112" s="1">
        <f t="shared" si="8"/>
        <v>0</v>
      </c>
      <c r="K112" s="1">
        <f t="shared" si="9"/>
        <v>0</v>
      </c>
      <c r="L112" s="1">
        <f t="shared" si="10"/>
        <v>0</v>
      </c>
      <c r="M112" s="1">
        <f t="shared" si="11"/>
        <v>142</v>
      </c>
      <c r="N112" s="1">
        <v>908</v>
      </c>
      <c r="O112" s="1">
        <v>800</v>
      </c>
      <c r="P112" s="1">
        <v>1000</v>
      </c>
      <c r="Q112" s="1">
        <v>1000</v>
      </c>
      <c r="R112" s="1">
        <v>983</v>
      </c>
      <c r="S112" s="1">
        <v>1400</v>
      </c>
      <c r="T112" s="1">
        <v>707</v>
      </c>
      <c r="U112" s="1">
        <v>1000</v>
      </c>
      <c r="V112" s="1">
        <v>632</v>
      </c>
      <c r="W112" s="1">
        <v>600</v>
      </c>
      <c r="AL112" s="1">
        <f t="shared" si="12"/>
        <v>4230</v>
      </c>
      <c r="AM112" s="1">
        <f t="shared" si="13"/>
        <v>4800</v>
      </c>
    </row>
    <row r="113" spans="1:39" x14ac:dyDescent="0.35">
      <c r="A113" s="1" t="s">
        <v>108</v>
      </c>
      <c r="B113" s="1">
        <v>105</v>
      </c>
      <c r="C113" s="1">
        <v>200</v>
      </c>
      <c r="D113" s="1">
        <v>255</v>
      </c>
      <c r="I113" s="1">
        <f t="shared" si="7"/>
        <v>0</v>
      </c>
      <c r="J113" s="1">
        <f t="shared" si="8"/>
        <v>0</v>
      </c>
      <c r="K113" s="1">
        <f t="shared" si="9"/>
        <v>0</v>
      </c>
      <c r="L113" s="1">
        <f t="shared" si="10"/>
        <v>0</v>
      </c>
      <c r="M113" s="1">
        <f t="shared" si="11"/>
        <v>255</v>
      </c>
      <c r="N113" s="1">
        <v>811</v>
      </c>
      <c r="O113" s="1">
        <v>1000</v>
      </c>
      <c r="P113" s="1">
        <v>1222</v>
      </c>
      <c r="Q113" s="1">
        <v>600</v>
      </c>
      <c r="R113" s="1">
        <v>898</v>
      </c>
      <c r="S113" s="1">
        <v>1400</v>
      </c>
      <c r="T113" s="1">
        <v>916</v>
      </c>
      <c r="U113" s="1">
        <v>600</v>
      </c>
      <c r="V113" s="1">
        <v>403</v>
      </c>
      <c r="W113" s="1">
        <v>400</v>
      </c>
      <c r="AL113" s="1">
        <f t="shared" si="12"/>
        <v>4250</v>
      </c>
      <c r="AM113" s="1">
        <f t="shared" si="13"/>
        <v>4000</v>
      </c>
    </row>
    <row r="114" spans="1:39" x14ac:dyDescent="0.35">
      <c r="A114" s="1" t="s">
        <v>109</v>
      </c>
      <c r="B114" s="1">
        <v>27</v>
      </c>
      <c r="C114" s="1">
        <v>100</v>
      </c>
      <c r="D114" s="1">
        <v>27</v>
      </c>
      <c r="I114" s="1">
        <f t="shared" si="7"/>
        <v>0</v>
      </c>
      <c r="J114" s="1">
        <f t="shared" si="8"/>
        <v>0</v>
      </c>
      <c r="K114" s="1">
        <f t="shared" si="9"/>
        <v>0</v>
      </c>
      <c r="L114" s="1">
        <f t="shared" si="10"/>
        <v>0</v>
      </c>
      <c r="M114" s="1">
        <f t="shared" si="11"/>
        <v>27</v>
      </c>
      <c r="N114" s="1">
        <v>784</v>
      </c>
      <c r="O114" s="1">
        <v>800</v>
      </c>
      <c r="P114" s="1">
        <v>459</v>
      </c>
      <c r="Q114" s="1">
        <v>400</v>
      </c>
      <c r="R114" s="1">
        <v>1097</v>
      </c>
      <c r="S114" s="1">
        <v>1100</v>
      </c>
      <c r="T114" s="1">
        <v>1093</v>
      </c>
      <c r="U114" s="1">
        <v>1000</v>
      </c>
      <c r="V114" s="1">
        <v>824</v>
      </c>
      <c r="W114" s="1">
        <v>800</v>
      </c>
      <c r="AL114" s="1">
        <f t="shared" si="12"/>
        <v>4257</v>
      </c>
      <c r="AM114" s="1">
        <f t="shared" si="13"/>
        <v>4100</v>
      </c>
    </row>
    <row r="115" spans="1:39" x14ac:dyDescent="0.35">
      <c r="A115" s="1" t="s">
        <v>110</v>
      </c>
      <c r="B115" s="1">
        <v>14</v>
      </c>
      <c r="C115" s="1">
        <v>400</v>
      </c>
      <c r="D115" s="1">
        <v>185</v>
      </c>
      <c r="I115" s="1">
        <f t="shared" si="7"/>
        <v>0</v>
      </c>
      <c r="J115" s="1">
        <f t="shared" si="8"/>
        <v>0</v>
      </c>
      <c r="K115" s="1">
        <f t="shared" si="9"/>
        <v>0</v>
      </c>
      <c r="L115" s="1">
        <f t="shared" si="10"/>
        <v>0</v>
      </c>
      <c r="M115" s="1">
        <f t="shared" si="11"/>
        <v>185</v>
      </c>
      <c r="N115" s="1">
        <v>1230</v>
      </c>
      <c r="O115" s="1">
        <v>1200</v>
      </c>
      <c r="P115" s="1">
        <v>911</v>
      </c>
      <c r="Q115" s="1">
        <v>1200</v>
      </c>
      <c r="R115" s="1">
        <v>1130</v>
      </c>
      <c r="S115" s="1">
        <v>1200</v>
      </c>
      <c r="T115" s="1">
        <v>1043</v>
      </c>
      <c r="U115" s="1">
        <v>1200</v>
      </c>
      <c r="V115" s="1">
        <v>385</v>
      </c>
      <c r="W115" s="1">
        <v>400</v>
      </c>
      <c r="AL115" s="1">
        <f t="shared" si="12"/>
        <v>4699</v>
      </c>
      <c r="AM115" s="1">
        <f t="shared" si="13"/>
        <v>5200</v>
      </c>
    </row>
    <row r="116" spans="1:39" x14ac:dyDescent="0.35">
      <c r="A116" s="1" t="s">
        <v>111</v>
      </c>
      <c r="B116" s="1">
        <v>145</v>
      </c>
      <c r="C116" s="1">
        <v>200</v>
      </c>
      <c r="D116" s="1">
        <v>281</v>
      </c>
      <c r="I116" s="1">
        <f t="shared" si="7"/>
        <v>0</v>
      </c>
      <c r="J116" s="1">
        <f t="shared" si="8"/>
        <v>0</v>
      </c>
      <c r="K116" s="1">
        <f t="shared" si="9"/>
        <v>0</v>
      </c>
      <c r="L116" s="1">
        <f t="shared" si="10"/>
        <v>0</v>
      </c>
      <c r="M116" s="1">
        <f t="shared" si="11"/>
        <v>281</v>
      </c>
      <c r="N116" s="1">
        <v>1073</v>
      </c>
      <c r="O116" s="1">
        <v>1000</v>
      </c>
      <c r="P116" s="1">
        <v>1094</v>
      </c>
      <c r="Q116" s="1">
        <v>1000</v>
      </c>
      <c r="R116" s="1">
        <v>490</v>
      </c>
      <c r="S116" s="1">
        <v>1400</v>
      </c>
      <c r="T116" s="1">
        <v>1362</v>
      </c>
      <c r="U116" s="1">
        <v>400</v>
      </c>
      <c r="V116" s="1">
        <v>604</v>
      </c>
      <c r="W116" s="1">
        <v>600</v>
      </c>
      <c r="AL116" s="1">
        <f t="shared" si="12"/>
        <v>4623</v>
      </c>
      <c r="AM116" s="1">
        <f t="shared" si="13"/>
        <v>4400</v>
      </c>
    </row>
    <row r="117" spans="1:39" x14ac:dyDescent="0.35">
      <c r="A117" s="1" t="s">
        <v>112</v>
      </c>
      <c r="B117" s="1">
        <v>149</v>
      </c>
      <c r="C117" s="1">
        <v>300</v>
      </c>
      <c r="D117" s="1">
        <v>208</v>
      </c>
      <c r="I117" s="1">
        <f t="shared" si="7"/>
        <v>0</v>
      </c>
      <c r="J117" s="1">
        <f t="shared" si="8"/>
        <v>0</v>
      </c>
      <c r="K117" s="1">
        <f t="shared" si="9"/>
        <v>0</v>
      </c>
      <c r="L117" s="1">
        <f t="shared" si="10"/>
        <v>0</v>
      </c>
      <c r="M117" s="1">
        <f t="shared" si="11"/>
        <v>208</v>
      </c>
      <c r="N117" s="1">
        <v>1133</v>
      </c>
      <c r="O117" s="1">
        <v>900</v>
      </c>
      <c r="P117" s="1">
        <v>664</v>
      </c>
      <c r="Q117" s="1">
        <v>900</v>
      </c>
      <c r="R117" s="1">
        <v>1144</v>
      </c>
      <c r="S117" s="1">
        <v>1500</v>
      </c>
      <c r="T117" s="1">
        <v>677</v>
      </c>
      <c r="U117" s="1">
        <v>1200</v>
      </c>
      <c r="V117" s="1">
        <v>485</v>
      </c>
      <c r="W117" s="1">
        <v>300</v>
      </c>
      <c r="AL117" s="1">
        <f t="shared" si="12"/>
        <v>4103</v>
      </c>
      <c r="AM117" s="1">
        <f t="shared" si="13"/>
        <v>4800</v>
      </c>
    </row>
    <row r="118" spans="1:39" x14ac:dyDescent="0.35">
      <c r="A118" s="1" t="s">
        <v>113</v>
      </c>
      <c r="B118" s="1">
        <v>120</v>
      </c>
      <c r="C118" s="1">
        <v>100</v>
      </c>
      <c r="D118" s="1">
        <v>167</v>
      </c>
      <c r="I118" s="1">
        <f t="shared" si="7"/>
        <v>0</v>
      </c>
      <c r="J118" s="1">
        <f t="shared" si="8"/>
        <v>0</v>
      </c>
      <c r="K118" s="1">
        <f t="shared" si="9"/>
        <v>0</v>
      </c>
      <c r="L118" s="1">
        <f t="shared" si="10"/>
        <v>0</v>
      </c>
      <c r="M118" s="1">
        <f t="shared" si="11"/>
        <v>167</v>
      </c>
      <c r="N118" s="1">
        <v>775</v>
      </c>
      <c r="O118" s="1">
        <v>1300</v>
      </c>
      <c r="P118" s="1">
        <v>1078</v>
      </c>
      <c r="Q118" s="1">
        <v>600</v>
      </c>
      <c r="R118" s="1">
        <v>992</v>
      </c>
      <c r="S118" s="1">
        <v>300</v>
      </c>
      <c r="T118" s="1">
        <v>838</v>
      </c>
      <c r="U118" s="1">
        <v>1200</v>
      </c>
      <c r="V118" s="1">
        <v>671</v>
      </c>
      <c r="W118" s="1">
        <v>700</v>
      </c>
      <c r="AL118" s="1">
        <f t="shared" si="12"/>
        <v>4354</v>
      </c>
      <c r="AM118" s="1">
        <f t="shared" si="13"/>
        <v>4100</v>
      </c>
    </row>
    <row r="119" spans="1:39" x14ac:dyDescent="0.35">
      <c r="A119" s="1" t="s">
        <v>114</v>
      </c>
      <c r="B119" s="1">
        <v>99</v>
      </c>
      <c r="C119" s="1">
        <v>400</v>
      </c>
      <c r="D119" s="1">
        <v>193</v>
      </c>
      <c r="I119" s="1">
        <f t="shared" si="7"/>
        <v>0</v>
      </c>
      <c r="J119" s="1">
        <f t="shared" si="8"/>
        <v>0</v>
      </c>
      <c r="K119" s="1">
        <f t="shared" si="9"/>
        <v>0</v>
      </c>
      <c r="L119" s="1">
        <f t="shared" si="10"/>
        <v>0</v>
      </c>
      <c r="M119" s="1">
        <f t="shared" si="11"/>
        <v>193</v>
      </c>
      <c r="N119" s="1">
        <v>927</v>
      </c>
      <c r="O119" s="1">
        <v>800</v>
      </c>
      <c r="P119" s="1">
        <v>733</v>
      </c>
      <c r="Q119" s="1">
        <v>400</v>
      </c>
      <c r="R119" s="1">
        <v>1117</v>
      </c>
      <c r="S119" s="1">
        <v>400</v>
      </c>
      <c r="T119" s="1">
        <v>1256</v>
      </c>
      <c r="U119" s="1">
        <v>1200</v>
      </c>
      <c r="V119" s="1">
        <v>702</v>
      </c>
      <c r="W119" s="1">
        <v>400</v>
      </c>
      <c r="AL119" s="1">
        <f t="shared" si="12"/>
        <v>4735</v>
      </c>
      <c r="AM119" s="1">
        <f t="shared" si="13"/>
        <v>3200</v>
      </c>
    </row>
    <row r="120" spans="1:39" x14ac:dyDescent="0.35">
      <c r="A120" s="1" t="s">
        <v>115</v>
      </c>
      <c r="B120" s="1">
        <v>30</v>
      </c>
      <c r="C120" s="1">
        <v>200</v>
      </c>
      <c r="D120" s="1">
        <v>122</v>
      </c>
      <c r="I120" s="1">
        <f t="shared" si="7"/>
        <v>0</v>
      </c>
      <c r="J120" s="1">
        <f t="shared" si="8"/>
        <v>0</v>
      </c>
      <c r="K120" s="1">
        <f t="shared" si="9"/>
        <v>0</v>
      </c>
      <c r="L120" s="1">
        <f t="shared" si="10"/>
        <v>0</v>
      </c>
      <c r="M120" s="1">
        <f t="shared" si="11"/>
        <v>122</v>
      </c>
      <c r="N120" s="1">
        <v>988</v>
      </c>
      <c r="O120" s="1">
        <v>600</v>
      </c>
      <c r="P120" s="1">
        <v>473</v>
      </c>
      <c r="Q120" s="1">
        <v>1000</v>
      </c>
      <c r="R120" s="1">
        <v>1308</v>
      </c>
      <c r="S120" s="1">
        <v>800</v>
      </c>
      <c r="T120" s="1">
        <v>906</v>
      </c>
      <c r="U120" s="1">
        <v>1200</v>
      </c>
      <c r="V120" s="1">
        <v>569</v>
      </c>
      <c r="W120" s="1">
        <v>600</v>
      </c>
      <c r="AL120" s="1">
        <f t="shared" si="12"/>
        <v>4244</v>
      </c>
      <c r="AM120" s="1">
        <f t="shared" si="13"/>
        <v>4200</v>
      </c>
    </row>
    <row r="121" spans="1:39" x14ac:dyDescent="0.35">
      <c r="A121" s="1" t="s">
        <v>116</v>
      </c>
      <c r="B121" s="1">
        <v>83</v>
      </c>
      <c r="C121" s="1">
        <v>100</v>
      </c>
      <c r="D121" s="1">
        <v>165</v>
      </c>
      <c r="I121" s="1">
        <f t="shared" si="7"/>
        <v>0</v>
      </c>
      <c r="J121" s="1">
        <f t="shared" si="8"/>
        <v>0</v>
      </c>
      <c r="K121" s="1">
        <f t="shared" si="9"/>
        <v>0</v>
      </c>
      <c r="L121" s="1">
        <f t="shared" si="10"/>
        <v>0</v>
      </c>
      <c r="M121" s="1">
        <f t="shared" si="11"/>
        <v>165</v>
      </c>
      <c r="N121" s="1">
        <v>521</v>
      </c>
      <c r="O121" s="1">
        <v>600</v>
      </c>
      <c r="P121" s="1">
        <v>950</v>
      </c>
      <c r="Q121" s="1">
        <v>1200</v>
      </c>
      <c r="R121" s="1">
        <v>1074</v>
      </c>
      <c r="S121" s="1">
        <v>1300</v>
      </c>
      <c r="T121" s="1">
        <v>1190</v>
      </c>
      <c r="U121" s="1">
        <v>800</v>
      </c>
      <c r="V121" s="1">
        <v>627</v>
      </c>
      <c r="W121" s="1">
        <v>700</v>
      </c>
      <c r="AL121" s="1">
        <f t="shared" si="12"/>
        <v>4362</v>
      </c>
      <c r="AM121" s="1">
        <f t="shared" si="13"/>
        <v>4600</v>
      </c>
    </row>
    <row r="122" spans="1:39" x14ac:dyDescent="0.35">
      <c r="A122" s="1" t="s">
        <v>117</v>
      </c>
      <c r="B122" s="1">
        <v>78</v>
      </c>
      <c r="C122" s="1">
        <v>100</v>
      </c>
      <c r="D122" s="1">
        <v>175</v>
      </c>
      <c r="I122" s="1">
        <f t="shared" si="7"/>
        <v>0</v>
      </c>
      <c r="J122" s="1">
        <f t="shared" si="8"/>
        <v>0</v>
      </c>
      <c r="K122" s="1">
        <f t="shared" si="9"/>
        <v>0</v>
      </c>
      <c r="L122" s="1">
        <f t="shared" si="10"/>
        <v>0</v>
      </c>
      <c r="M122" s="1">
        <f t="shared" si="11"/>
        <v>175</v>
      </c>
      <c r="N122" s="1">
        <v>1414</v>
      </c>
      <c r="O122" s="1">
        <v>900</v>
      </c>
      <c r="P122" s="1">
        <v>964</v>
      </c>
      <c r="Q122" s="1">
        <v>1400</v>
      </c>
      <c r="R122" s="1">
        <v>839</v>
      </c>
      <c r="S122" s="1">
        <v>800</v>
      </c>
      <c r="T122" s="1">
        <v>725</v>
      </c>
      <c r="U122" s="1">
        <v>800</v>
      </c>
      <c r="V122" s="1">
        <v>429</v>
      </c>
      <c r="W122" s="1">
        <v>500</v>
      </c>
      <c r="AL122" s="1">
        <f t="shared" si="12"/>
        <v>4371</v>
      </c>
      <c r="AM122" s="1">
        <f t="shared" si="13"/>
        <v>4400</v>
      </c>
    </row>
    <row r="123" spans="1:39" x14ac:dyDescent="0.35">
      <c r="A123" s="1" t="s">
        <v>118</v>
      </c>
      <c r="B123" s="1">
        <v>58</v>
      </c>
      <c r="C123" s="1">
        <v>300</v>
      </c>
      <c r="D123" s="1">
        <v>79</v>
      </c>
      <c r="I123" s="1">
        <f t="shared" si="7"/>
        <v>0</v>
      </c>
      <c r="J123" s="1">
        <f t="shared" si="8"/>
        <v>0</v>
      </c>
      <c r="K123" s="1">
        <f t="shared" si="9"/>
        <v>0</v>
      </c>
      <c r="L123" s="1">
        <f t="shared" si="10"/>
        <v>0</v>
      </c>
      <c r="M123" s="1">
        <f t="shared" si="11"/>
        <v>79</v>
      </c>
      <c r="N123" s="1">
        <v>976</v>
      </c>
      <c r="O123" s="1">
        <v>1200</v>
      </c>
      <c r="P123" s="1">
        <v>1107</v>
      </c>
      <c r="Q123" s="1">
        <v>900</v>
      </c>
      <c r="R123" s="1">
        <v>1226</v>
      </c>
      <c r="S123" s="1">
        <v>1500</v>
      </c>
      <c r="T123" s="1">
        <v>1063</v>
      </c>
      <c r="U123" s="1">
        <v>1500</v>
      </c>
      <c r="V123" s="1">
        <v>482</v>
      </c>
      <c r="W123" s="1">
        <v>300</v>
      </c>
      <c r="AL123" s="1">
        <f t="shared" si="12"/>
        <v>4854</v>
      </c>
      <c r="AM123" s="1">
        <f t="shared" si="13"/>
        <v>5400</v>
      </c>
    </row>
    <row r="124" spans="1:39" x14ac:dyDescent="0.35">
      <c r="A124" s="1" t="s">
        <v>119</v>
      </c>
      <c r="B124" s="1">
        <v>96</v>
      </c>
      <c r="C124" s="1">
        <v>200</v>
      </c>
      <c r="D124" s="1">
        <v>112</v>
      </c>
      <c r="I124" s="1">
        <f t="shared" si="7"/>
        <v>0</v>
      </c>
      <c r="J124" s="1">
        <f t="shared" si="8"/>
        <v>0</v>
      </c>
      <c r="K124" s="1">
        <f t="shared" si="9"/>
        <v>0</v>
      </c>
      <c r="L124" s="1">
        <f t="shared" si="10"/>
        <v>0</v>
      </c>
      <c r="M124" s="1">
        <f t="shared" si="11"/>
        <v>112</v>
      </c>
      <c r="N124" s="1">
        <v>834</v>
      </c>
      <c r="O124" s="1">
        <v>1000</v>
      </c>
      <c r="P124" s="1">
        <v>482</v>
      </c>
      <c r="Q124" s="1">
        <v>1400</v>
      </c>
      <c r="R124" s="1">
        <v>859</v>
      </c>
      <c r="S124" s="1">
        <v>1000</v>
      </c>
      <c r="T124" s="1">
        <v>1078</v>
      </c>
      <c r="U124" s="1">
        <v>1400</v>
      </c>
      <c r="V124" s="1">
        <v>560</v>
      </c>
      <c r="W124" s="1">
        <v>400</v>
      </c>
      <c r="AL124" s="1">
        <f t="shared" si="12"/>
        <v>3813</v>
      </c>
      <c r="AM124" s="1">
        <f t="shared" si="13"/>
        <v>5200</v>
      </c>
    </row>
    <row r="125" spans="1:39" x14ac:dyDescent="0.35">
      <c r="A125" s="1" t="s">
        <v>120</v>
      </c>
      <c r="B125" s="1">
        <v>60</v>
      </c>
      <c r="C125" s="1">
        <v>300</v>
      </c>
      <c r="D125" s="1">
        <v>290</v>
      </c>
      <c r="I125" s="1">
        <f t="shared" si="7"/>
        <v>0</v>
      </c>
      <c r="J125" s="1">
        <f t="shared" si="8"/>
        <v>0</v>
      </c>
      <c r="K125" s="1">
        <f t="shared" si="9"/>
        <v>0</v>
      </c>
      <c r="L125" s="1">
        <f t="shared" si="10"/>
        <v>0</v>
      </c>
      <c r="M125" s="1">
        <f t="shared" si="11"/>
        <v>290</v>
      </c>
      <c r="N125" s="1">
        <v>1092</v>
      </c>
      <c r="O125" s="1">
        <v>600</v>
      </c>
      <c r="P125" s="1">
        <v>986</v>
      </c>
      <c r="Q125" s="1">
        <v>1200</v>
      </c>
      <c r="R125" s="1">
        <v>635</v>
      </c>
      <c r="S125" s="1">
        <v>1200</v>
      </c>
      <c r="T125" s="1">
        <v>1147</v>
      </c>
      <c r="U125" s="1">
        <v>600</v>
      </c>
      <c r="V125" s="1">
        <v>736</v>
      </c>
      <c r="W125" s="1">
        <v>900</v>
      </c>
      <c r="AL125" s="1">
        <f t="shared" si="12"/>
        <v>4596</v>
      </c>
      <c r="AM125" s="1">
        <f t="shared" si="13"/>
        <v>4500</v>
      </c>
    </row>
    <row r="126" spans="1:39" x14ac:dyDescent="0.35">
      <c r="A126" s="1" t="s">
        <v>121</v>
      </c>
      <c r="B126" s="1">
        <v>91</v>
      </c>
      <c r="C126" s="1">
        <v>400</v>
      </c>
      <c r="D126" s="1">
        <v>485</v>
      </c>
      <c r="I126" s="1">
        <f t="shared" si="7"/>
        <v>0</v>
      </c>
      <c r="J126" s="1">
        <f t="shared" si="8"/>
        <v>0</v>
      </c>
      <c r="K126" s="1">
        <f t="shared" si="9"/>
        <v>0</v>
      </c>
      <c r="L126" s="1">
        <f t="shared" si="10"/>
        <v>0</v>
      </c>
      <c r="M126" s="1">
        <f t="shared" si="11"/>
        <v>485</v>
      </c>
      <c r="N126" s="1">
        <v>1327</v>
      </c>
      <c r="O126" s="1">
        <v>1200</v>
      </c>
      <c r="P126" s="1">
        <v>800</v>
      </c>
      <c r="Q126" s="1">
        <v>1200</v>
      </c>
      <c r="R126" s="1">
        <v>1006</v>
      </c>
      <c r="S126" s="1">
        <v>1200</v>
      </c>
      <c r="T126" s="1">
        <v>1083</v>
      </c>
      <c r="U126" s="1">
        <v>800</v>
      </c>
      <c r="V126" s="1">
        <v>592</v>
      </c>
      <c r="W126" s="1">
        <v>800</v>
      </c>
      <c r="AL126" s="1">
        <f t="shared" si="12"/>
        <v>4808</v>
      </c>
      <c r="AM126" s="1">
        <f t="shared" si="13"/>
        <v>5200</v>
      </c>
    </row>
    <row r="127" spans="1:39" x14ac:dyDescent="0.35">
      <c r="A127" s="1" t="s">
        <v>122</v>
      </c>
      <c r="B127" s="1">
        <v>35</v>
      </c>
      <c r="C127" s="1">
        <v>300</v>
      </c>
      <c r="D127" s="1">
        <v>291</v>
      </c>
      <c r="I127" s="1">
        <f t="shared" si="7"/>
        <v>0</v>
      </c>
      <c r="J127" s="1">
        <f t="shared" si="8"/>
        <v>0</v>
      </c>
      <c r="K127" s="1">
        <f t="shared" si="9"/>
        <v>0</v>
      </c>
      <c r="L127" s="1">
        <f t="shared" si="10"/>
        <v>0</v>
      </c>
      <c r="M127" s="1">
        <f t="shared" si="11"/>
        <v>291</v>
      </c>
      <c r="N127" s="1">
        <v>1079</v>
      </c>
      <c r="O127" s="1">
        <v>1200</v>
      </c>
      <c r="P127" s="1">
        <v>736</v>
      </c>
      <c r="Q127" s="1">
        <v>900</v>
      </c>
      <c r="R127" s="1">
        <v>1011</v>
      </c>
      <c r="S127" s="1">
        <v>600</v>
      </c>
      <c r="T127" s="1">
        <v>1536</v>
      </c>
      <c r="U127" s="1">
        <v>900</v>
      </c>
      <c r="V127" s="1">
        <v>654</v>
      </c>
      <c r="W127" s="1">
        <v>900</v>
      </c>
      <c r="AL127" s="1">
        <f t="shared" si="12"/>
        <v>5016</v>
      </c>
      <c r="AM127" s="1">
        <f t="shared" si="13"/>
        <v>4500</v>
      </c>
    </row>
    <row r="128" spans="1:39" x14ac:dyDescent="0.35">
      <c r="A128" s="1" t="s">
        <v>123</v>
      </c>
      <c r="B128" s="1">
        <v>144</v>
      </c>
      <c r="C128" s="1">
        <v>200</v>
      </c>
      <c r="D128" s="1">
        <v>222</v>
      </c>
      <c r="I128" s="1">
        <f t="shared" si="7"/>
        <v>0</v>
      </c>
      <c r="J128" s="1">
        <f t="shared" si="8"/>
        <v>0</v>
      </c>
      <c r="K128" s="1">
        <f t="shared" si="9"/>
        <v>0</v>
      </c>
      <c r="L128" s="1">
        <f t="shared" si="10"/>
        <v>0</v>
      </c>
      <c r="M128" s="1">
        <f t="shared" si="11"/>
        <v>222</v>
      </c>
      <c r="N128" s="1">
        <v>745</v>
      </c>
      <c r="O128" s="1">
        <v>1400</v>
      </c>
      <c r="P128" s="1">
        <v>950</v>
      </c>
      <c r="Q128" s="1">
        <v>1400</v>
      </c>
      <c r="R128" s="1">
        <v>955</v>
      </c>
      <c r="S128" s="1">
        <v>1000</v>
      </c>
      <c r="T128" s="1">
        <v>1368</v>
      </c>
      <c r="U128" s="1">
        <v>1200</v>
      </c>
      <c r="V128" s="1">
        <v>483</v>
      </c>
      <c r="W128" s="1">
        <v>400</v>
      </c>
      <c r="AL128" s="1">
        <f t="shared" si="12"/>
        <v>4501</v>
      </c>
      <c r="AM128" s="1">
        <f t="shared" si="13"/>
        <v>5400</v>
      </c>
    </row>
    <row r="129" spans="1:39" x14ac:dyDescent="0.35">
      <c r="A129" s="1" t="s">
        <v>124</v>
      </c>
      <c r="B129" s="1">
        <v>78</v>
      </c>
      <c r="C129" s="1">
        <v>100</v>
      </c>
      <c r="D129" s="1">
        <v>91</v>
      </c>
      <c r="I129" s="1">
        <f t="shared" si="7"/>
        <v>0</v>
      </c>
      <c r="J129" s="1">
        <f t="shared" si="8"/>
        <v>0</v>
      </c>
      <c r="K129" s="1">
        <f t="shared" si="9"/>
        <v>0</v>
      </c>
      <c r="L129" s="1">
        <f t="shared" si="10"/>
        <v>0</v>
      </c>
      <c r="M129" s="1">
        <f t="shared" si="11"/>
        <v>91</v>
      </c>
      <c r="N129" s="1">
        <v>1165</v>
      </c>
      <c r="O129" s="1">
        <v>1100</v>
      </c>
      <c r="P129" s="1">
        <v>946</v>
      </c>
      <c r="Q129" s="1">
        <v>1000</v>
      </c>
      <c r="R129" s="1">
        <v>1477</v>
      </c>
      <c r="S129" s="1">
        <v>1200</v>
      </c>
      <c r="T129" s="1">
        <v>848</v>
      </c>
      <c r="U129" s="1">
        <v>1200</v>
      </c>
      <c r="V129" s="1">
        <v>622</v>
      </c>
      <c r="W129" s="1">
        <v>600</v>
      </c>
      <c r="AL129" s="1">
        <f t="shared" si="12"/>
        <v>5058</v>
      </c>
      <c r="AM129" s="1">
        <f t="shared" si="13"/>
        <v>5100</v>
      </c>
    </row>
    <row r="130" spans="1:39" x14ac:dyDescent="0.35">
      <c r="A130" s="1" t="s">
        <v>125</v>
      </c>
      <c r="B130" s="1">
        <v>25</v>
      </c>
      <c r="C130" s="1">
        <v>200</v>
      </c>
      <c r="D130" s="1">
        <v>177</v>
      </c>
      <c r="I130" s="1">
        <f t="shared" si="7"/>
        <v>0</v>
      </c>
      <c r="J130" s="1">
        <f t="shared" si="8"/>
        <v>0</v>
      </c>
      <c r="K130" s="1">
        <f t="shared" si="9"/>
        <v>0</v>
      </c>
      <c r="L130" s="1">
        <f t="shared" si="10"/>
        <v>0</v>
      </c>
      <c r="M130" s="1">
        <f t="shared" si="11"/>
        <v>177</v>
      </c>
      <c r="N130" s="1">
        <v>895</v>
      </c>
      <c r="O130" s="1">
        <v>1000</v>
      </c>
      <c r="P130" s="1">
        <v>1413</v>
      </c>
      <c r="Q130" s="1">
        <v>600</v>
      </c>
      <c r="R130" s="1">
        <v>1081</v>
      </c>
      <c r="S130" s="1">
        <v>1000</v>
      </c>
      <c r="T130" s="1">
        <v>949</v>
      </c>
      <c r="U130" s="1">
        <v>600</v>
      </c>
      <c r="V130" s="1">
        <v>307</v>
      </c>
      <c r="W130" s="1">
        <v>400</v>
      </c>
      <c r="AL130" s="1">
        <f t="shared" si="12"/>
        <v>4645</v>
      </c>
      <c r="AM130" s="1">
        <f t="shared" si="13"/>
        <v>3600</v>
      </c>
    </row>
    <row r="131" spans="1:39" x14ac:dyDescent="0.35">
      <c r="A131" s="1" t="s">
        <v>126</v>
      </c>
      <c r="B131" s="1">
        <v>82</v>
      </c>
      <c r="C131" s="1">
        <v>300</v>
      </c>
      <c r="D131" s="1">
        <v>348</v>
      </c>
      <c r="I131" s="1">
        <f t="shared" si="7"/>
        <v>0</v>
      </c>
      <c r="J131" s="1">
        <f t="shared" si="8"/>
        <v>0</v>
      </c>
      <c r="K131" s="1">
        <f t="shared" si="9"/>
        <v>0</v>
      </c>
      <c r="L131" s="1">
        <f t="shared" si="10"/>
        <v>0</v>
      </c>
      <c r="M131" s="1">
        <f t="shared" si="11"/>
        <v>348</v>
      </c>
      <c r="N131" s="1">
        <v>1232</v>
      </c>
      <c r="O131" s="1">
        <v>900</v>
      </c>
      <c r="P131" s="1">
        <v>1303</v>
      </c>
      <c r="Q131" s="1">
        <v>1800</v>
      </c>
      <c r="R131" s="1">
        <v>1046</v>
      </c>
      <c r="S131" s="1">
        <v>1200</v>
      </c>
      <c r="T131" s="1">
        <v>1101</v>
      </c>
      <c r="U131" s="1">
        <v>900</v>
      </c>
      <c r="V131" s="1">
        <v>614</v>
      </c>
      <c r="W131" s="1">
        <v>600</v>
      </c>
      <c r="AL131" s="1">
        <f t="shared" si="12"/>
        <v>5296</v>
      </c>
      <c r="AM131" s="1">
        <f t="shared" si="13"/>
        <v>5400</v>
      </c>
    </row>
    <row r="132" spans="1:39" x14ac:dyDescent="0.35">
      <c r="A132" s="1" t="s">
        <v>127</v>
      </c>
      <c r="B132" s="1">
        <v>115</v>
      </c>
      <c r="C132" s="1">
        <v>400</v>
      </c>
      <c r="D132" s="1">
        <v>329</v>
      </c>
      <c r="I132" s="1">
        <f t="shared" si="7"/>
        <v>0</v>
      </c>
      <c r="J132" s="1">
        <f t="shared" si="8"/>
        <v>0</v>
      </c>
      <c r="K132" s="1">
        <f t="shared" si="9"/>
        <v>0</v>
      </c>
      <c r="L132" s="1">
        <f t="shared" si="10"/>
        <v>0</v>
      </c>
      <c r="M132" s="1">
        <f t="shared" si="11"/>
        <v>329</v>
      </c>
      <c r="N132" s="1">
        <v>998</v>
      </c>
      <c r="O132" s="1">
        <v>1200</v>
      </c>
      <c r="P132" s="1">
        <v>981</v>
      </c>
      <c r="Q132" s="1">
        <v>800</v>
      </c>
      <c r="R132" s="1">
        <v>1178</v>
      </c>
      <c r="S132" s="1">
        <v>1200</v>
      </c>
      <c r="T132" s="1">
        <v>950</v>
      </c>
      <c r="U132" s="1">
        <v>1200</v>
      </c>
      <c r="V132" s="1">
        <v>448</v>
      </c>
      <c r="W132" s="1">
        <v>400</v>
      </c>
      <c r="AL132" s="1">
        <f t="shared" si="12"/>
        <v>4555</v>
      </c>
      <c r="AM132" s="1">
        <f t="shared" si="13"/>
        <v>4800</v>
      </c>
    </row>
    <row r="133" spans="1:39" x14ac:dyDescent="0.35">
      <c r="A133" s="1" t="s">
        <v>128</v>
      </c>
      <c r="B133" s="1">
        <v>25</v>
      </c>
      <c r="C133" s="1">
        <v>100</v>
      </c>
      <c r="D133" s="1">
        <v>77</v>
      </c>
      <c r="I133" s="1">
        <f t="shared" si="7"/>
        <v>0</v>
      </c>
      <c r="J133" s="1">
        <f t="shared" si="8"/>
        <v>0</v>
      </c>
      <c r="K133" s="1">
        <f t="shared" si="9"/>
        <v>0</v>
      </c>
      <c r="L133" s="1">
        <f t="shared" si="10"/>
        <v>0</v>
      </c>
      <c r="M133" s="1">
        <f t="shared" si="11"/>
        <v>77</v>
      </c>
      <c r="N133" s="1">
        <v>969</v>
      </c>
      <c r="O133" s="1">
        <v>1200</v>
      </c>
      <c r="P133" s="1">
        <v>1192</v>
      </c>
      <c r="Q133" s="1">
        <v>1100</v>
      </c>
      <c r="R133" s="1">
        <v>771</v>
      </c>
      <c r="S133" s="1">
        <v>1100</v>
      </c>
      <c r="T133" s="1">
        <v>577</v>
      </c>
      <c r="U133" s="1">
        <v>1000</v>
      </c>
      <c r="V133" s="1">
        <v>384</v>
      </c>
      <c r="W133" s="1">
        <v>400</v>
      </c>
      <c r="AL133" s="1">
        <f t="shared" si="12"/>
        <v>3893</v>
      </c>
      <c r="AM133" s="1">
        <f t="shared" si="13"/>
        <v>4800</v>
      </c>
    </row>
    <row r="134" spans="1:39" x14ac:dyDescent="0.35">
      <c r="A134" s="1" t="s">
        <v>129</v>
      </c>
      <c r="B134" s="1">
        <v>55</v>
      </c>
      <c r="C134" s="1">
        <v>100</v>
      </c>
      <c r="D134" s="1">
        <v>105</v>
      </c>
      <c r="I134" s="1">
        <f t="shared" si="7"/>
        <v>0</v>
      </c>
      <c r="J134" s="1">
        <f t="shared" si="8"/>
        <v>0</v>
      </c>
      <c r="K134" s="1">
        <f t="shared" si="9"/>
        <v>0</v>
      </c>
      <c r="L134" s="1">
        <f t="shared" si="10"/>
        <v>0</v>
      </c>
      <c r="M134" s="1">
        <f t="shared" si="11"/>
        <v>105</v>
      </c>
      <c r="N134" s="1">
        <v>1269</v>
      </c>
      <c r="O134" s="1">
        <v>1200</v>
      </c>
      <c r="P134" s="1">
        <v>1318</v>
      </c>
      <c r="Q134" s="1">
        <v>1100</v>
      </c>
      <c r="R134" s="1">
        <v>806</v>
      </c>
      <c r="S134" s="1">
        <v>1000</v>
      </c>
      <c r="T134" s="1">
        <v>786</v>
      </c>
      <c r="U134" s="1">
        <v>1100</v>
      </c>
      <c r="V134" s="1">
        <v>697</v>
      </c>
      <c r="W134" s="1">
        <v>700</v>
      </c>
      <c r="AL134" s="1">
        <f t="shared" si="12"/>
        <v>4876</v>
      </c>
      <c r="AM134" s="1">
        <f t="shared" si="13"/>
        <v>5100</v>
      </c>
    </row>
    <row r="135" spans="1:39" x14ac:dyDescent="0.35">
      <c r="A135" s="1" t="s">
        <v>130</v>
      </c>
      <c r="B135" s="1">
        <v>75</v>
      </c>
      <c r="C135" s="1">
        <v>500</v>
      </c>
      <c r="D135" s="1">
        <v>160</v>
      </c>
      <c r="I135" s="1">
        <f t="shared" ref="I135:I155" si="14">Purchase(D135,B135,C135,E135)</f>
        <v>0</v>
      </c>
      <c r="J135" s="1">
        <f t="shared" ref="J135:J155" si="15">Purchase(D135+I135,B135,C135,SUM(E135:F135))</f>
        <v>0</v>
      </c>
      <c r="K135" s="1">
        <f t="shared" ref="K135:K155" si="16">Purchase(D135+SUM(I135:J135),B135,C135,SUM(E135:G135))</f>
        <v>0</v>
      </c>
      <c r="L135" s="1">
        <f t="shared" ref="L135:L155" si="17">Purchase(D135+SUM(I135:K135),B135,C135,SUM(E135:H135))</f>
        <v>0</v>
      </c>
      <c r="M135" s="1">
        <f t="shared" ref="M135:M155" si="18">D135-SUM(E135:H135)+SUM(I135:L135)</f>
        <v>160</v>
      </c>
      <c r="N135" s="1">
        <v>1151</v>
      </c>
      <c r="O135" s="1">
        <v>1500</v>
      </c>
      <c r="P135" s="1">
        <v>802</v>
      </c>
      <c r="Q135" s="1">
        <v>1000</v>
      </c>
      <c r="R135" s="1">
        <v>933</v>
      </c>
      <c r="S135" s="1">
        <v>1000</v>
      </c>
      <c r="T135" s="1">
        <v>1236</v>
      </c>
      <c r="U135" s="1">
        <v>1500</v>
      </c>
      <c r="V135" s="1">
        <v>551</v>
      </c>
      <c r="W135" s="1">
        <v>500</v>
      </c>
      <c r="AL135" s="1">
        <f t="shared" ref="AL135:AL155" si="19">SUM(AJ135,AH135,AF135,AD135,AB135,Z135,X135,V135,T135,R135,P135,N135)</f>
        <v>4673</v>
      </c>
      <c r="AM135" s="1">
        <f t="shared" ref="AM135:AM155" si="20">SUM(AK135,AI135,AG135,AE135,AC135,AA135,Y135,W135,U135,S135,Q135,O135)</f>
        <v>5500</v>
      </c>
    </row>
    <row r="136" spans="1:39" x14ac:dyDescent="0.35">
      <c r="A136" s="1" t="s">
        <v>131</v>
      </c>
      <c r="B136" s="1">
        <v>133</v>
      </c>
      <c r="C136" s="1">
        <v>300</v>
      </c>
      <c r="D136" s="1">
        <v>279</v>
      </c>
      <c r="I136" s="1">
        <f t="shared" si="14"/>
        <v>0</v>
      </c>
      <c r="J136" s="1">
        <f t="shared" si="15"/>
        <v>0</v>
      </c>
      <c r="K136" s="1">
        <f t="shared" si="16"/>
        <v>0</v>
      </c>
      <c r="L136" s="1">
        <f t="shared" si="17"/>
        <v>0</v>
      </c>
      <c r="M136" s="1">
        <f t="shared" si="18"/>
        <v>279</v>
      </c>
      <c r="N136" s="1">
        <v>1042</v>
      </c>
      <c r="O136" s="1">
        <v>1200</v>
      </c>
      <c r="P136" s="1">
        <v>704</v>
      </c>
      <c r="Q136" s="1">
        <v>1200</v>
      </c>
      <c r="R136" s="1">
        <v>1507</v>
      </c>
      <c r="S136" s="1">
        <v>900</v>
      </c>
      <c r="T136" s="1">
        <v>754</v>
      </c>
      <c r="U136" s="1">
        <v>1500</v>
      </c>
      <c r="V136" s="1">
        <v>560</v>
      </c>
      <c r="W136" s="1">
        <v>600</v>
      </c>
      <c r="AL136" s="1">
        <f t="shared" si="19"/>
        <v>4567</v>
      </c>
      <c r="AM136" s="1">
        <f t="shared" si="20"/>
        <v>5400</v>
      </c>
    </row>
    <row r="137" spans="1:39" x14ac:dyDescent="0.35">
      <c r="A137" s="1" t="s">
        <v>132</v>
      </c>
      <c r="B137" s="1">
        <v>70</v>
      </c>
      <c r="C137" s="1">
        <v>100</v>
      </c>
      <c r="D137" s="1">
        <v>100</v>
      </c>
      <c r="I137" s="1">
        <f t="shared" si="14"/>
        <v>0</v>
      </c>
      <c r="J137" s="1">
        <f t="shared" si="15"/>
        <v>0</v>
      </c>
      <c r="K137" s="1">
        <f t="shared" si="16"/>
        <v>0</v>
      </c>
      <c r="L137" s="1">
        <f t="shared" si="17"/>
        <v>0</v>
      </c>
      <c r="M137" s="1">
        <f t="shared" si="18"/>
        <v>100</v>
      </c>
      <c r="N137" s="1">
        <v>1398</v>
      </c>
      <c r="O137" s="1">
        <v>900</v>
      </c>
      <c r="P137" s="1">
        <v>1040</v>
      </c>
      <c r="Q137" s="1">
        <v>900</v>
      </c>
      <c r="R137" s="1">
        <v>1258</v>
      </c>
      <c r="S137" s="1">
        <v>1100</v>
      </c>
      <c r="T137" s="1">
        <v>1425</v>
      </c>
      <c r="U137" s="1">
        <v>1000</v>
      </c>
      <c r="V137" s="1">
        <v>792</v>
      </c>
      <c r="W137" s="1">
        <v>800</v>
      </c>
      <c r="AL137" s="1">
        <f t="shared" si="19"/>
        <v>5913</v>
      </c>
      <c r="AM137" s="1">
        <f t="shared" si="20"/>
        <v>4700</v>
      </c>
    </row>
    <row r="138" spans="1:39" x14ac:dyDescent="0.35">
      <c r="A138" s="1" t="s">
        <v>133</v>
      </c>
      <c r="B138" s="1">
        <v>35</v>
      </c>
      <c r="C138" s="1">
        <v>500</v>
      </c>
      <c r="D138" s="1">
        <v>160</v>
      </c>
      <c r="I138" s="1">
        <f t="shared" si="14"/>
        <v>0</v>
      </c>
      <c r="J138" s="1">
        <f t="shared" si="15"/>
        <v>0</v>
      </c>
      <c r="K138" s="1">
        <f t="shared" si="16"/>
        <v>0</v>
      </c>
      <c r="L138" s="1">
        <f t="shared" si="17"/>
        <v>0</v>
      </c>
      <c r="M138" s="1">
        <f t="shared" si="18"/>
        <v>160</v>
      </c>
      <c r="N138" s="1">
        <v>1364</v>
      </c>
      <c r="O138" s="1">
        <v>1000</v>
      </c>
      <c r="P138" s="1">
        <v>996</v>
      </c>
      <c r="Q138" s="1">
        <v>1000</v>
      </c>
      <c r="R138" s="1">
        <v>1021</v>
      </c>
      <c r="S138" s="1">
        <v>500</v>
      </c>
      <c r="T138" s="1">
        <v>547</v>
      </c>
      <c r="U138" s="1">
        <v>1000</v>
      </c>
      <c r="V138" s="1">
        <v>912</v>
      </c>
      <c r="W138" s="1">
        <v>1000</v>
      </c>
      <c r="AL138" s="1">
        <f t="shared" si="19"/>
        <v>4840</v>
      </c>
      <c r="AM138" s="1">
        <f t="shared" si="20"/>
        <v>4500</v>
      </c>
    </row>
    <row r="139" spans="1:39" x14ac:dyDescent="0.35">
      <c r="A139" s="1" t="s">
        <v>134</v>
      </c>
      <c r="B139" s="1">
        <v>63</v>
      </c>
      <c r="C139" s="1">
        <v>500</v>
      </c>
      <c r="D139" s="1">
        <v>113</v>
      </c>
      <c r="I139" s="1">
        <f t="shared" si="14"/>
        <v>0</v>
      </c>
      <c r="J139" s="1">
        <f t="shared" si="15"/>
        <v>0</v>
      </c>
      <c r="K139" s="1">
        <f t="shared" si="16"/>
        <v>0</v>
      </c>
      <c r="L139" s="1">
        <f t="shared" si="17"/>
        <v>0</v>
      </c>
      <c r="M139" s="1">
        <f t="shared" si="18"/>
        <v>113</v>
      </c>
      <c r="N139" s="1">
        <v>534</v>
      </c>
      <c r="O139" s="1">
        <v>1500</v>
      </c>
      <c r="P139" s="1">
        <v>698</v>
      </c>
      <c r="Q139" s="1">
        <v>500</v>
      </c>
      <c r="R139" s="1">
        <v>1339</v>
      </c>
      <c r="S139" s="1">
        <v>1000</v>
      </c>
      <c r="T139" s="1">
        <v>1023</v>
      </c>
      <c r="U139" s="1">
        <v>500</v>
      </c>
      <c r="V139" s="1">
        <v>674</v>
      </c>
      <c r="W139" s="1">
        <v>500</v>
      </c>
      <c r="AL139" s="1">
        <f t="shared" si="19"/>
        <v>4268</v>
      </c>
      <c r="AM139" s="1">
        <f t="shared" si="20"/>
        <v>4000</v>
      </c>
    </row>
    <row r="140" spans="1:39" x14ac:dyDescent="0.35">
      <c r="A140" s="1" t="s">
        <v>135</v>
      </c>
      <c r="B140" s="1">
        <v>97</v>
      </c>
      <c r="C140" s="1">
        <v>400</v>
      </c>
      <c r="D140" s="1">
        <v>186</v>
      </c>
      <c r="I140" s="1">
        <f t="shared" si="14"/>
        <v>0</v>
      </c>
      <c r="J140" s="1">
        <f t="shared" si="15"/>
        <v>0</v>
      </c>
      <c r="K140" s="1">
        <f t="shared" si="16"/>
        <v>0</v>
      </c>
      <c r="L140" s="1">
        <f t="shared" si="17"/>
        <v>0</v>
      </c>
      <c r="M140" s="1">
        <f t="shared" si="18"/>
        <v>186</v>
      </c>
      <c r="N140" s="1">
        <v>953</v>
      </c>
      <c r="O140" s="1">
        <v>1200</v>
      </c>
      <c r="P140" s="1">
        <v>1049</v>
      </c>
      <c r="Q140" s="1">
        <v>800</v>
      </c>
      <c r="R140" s="1">
        <v>1016</v>
      </c>
      <c r="S140" s="1">
        <v>1200</v>
      </c>
      <c r="T140" s="1">
        <v>894</v>
      </c>
      <c r="U140" s="1">
        <v>1200</v>
      </c>
      <c r="V140" s="1">
        <v>897</v>
      </c>
      <c r="W140" s="1">
        <v>800</v>
      </c>
      <c r="AL140" s="1">
        <f t="shared" si="19"/>
        <v>4809</v>
      </c>
      <c r="AM140" s="1">
        <f t="shared" si="20"/>
        <v>5200</v>
      </c>
    </row>
    <row r="141" spans="1:39" x14ac:dyDescent="0.35">
      <c r="A141" s="1" t="s">
        <v>136</v>
      </c>
      <c r="B141" s="1">
        <v>147</v>
      </c>
      <c r="C141" s="1">
        <v>500</v>
      </c>
      <c r="D141" s="1">
        <v>375</v>
      </c>
      <c r="I141" s="1">
        <f t="shared" si="14"/>
        <v>0</v>
      </c>
      <c r="J141" s="1">
        <f t="shared" si="15"/>
        <v>0</v>
      </c>
      <c r="K141" s="1">
        <f t="shared" si="16"/>
        <v>0</v>
      </c>
      <c r="L141" s="1">
        <f t="shared" si="17"/>
        <v>0</v>
      </c>
      <c r="M141" s="1">
        <f t="shared" si="18"/>
        <v>375</v>
      </c>
      <c r="N141" s="1">
        <v>1289</v>
      </c>
      <c r="O141" s="1">
        <v>1000</v>
      </c>
      <c r="P141" s="1">
        <v>1133</v>
      </c>
      <c r="Q141" s="1">
        <v>1500</v>
      </c>
      <c r="R141" s="1">
        <v>1325</v>
      </c>
      <c r="S141" s="1">
        <v>1000</v>
      </c>
      <c r="T141" s="1">
        <v>1041</v>
      </c>
      <c r="U141" s="1">
        <v>1000</v>
      </c>
      <c r="V141" s="1">
        <v>674</v>
      </c>
      <c r="W141" s="1">
        <v>500</v>
      </c>
      <c r="AL141" s="1">
        <f t="shared" si="19"/>
        <v>5462</v>
      </c>
      <c r="AM141" s="1">
        <f t="shared" si="20"/>
        <v>5000</v>
      </c>
    </row>
    <row r="142" spans="1:39" x14ac:dyDescent="0.35">
      <c r="A142" s="1" t="s">
        <v>137</v>
      </c>
      <c r="B142" s="1">
        <v>74</v>
      </c>
      <c r="C142" s="1">
        <v>500</v>
      </c>
      <c r="D142" s="1">
        <v>369</v>
      </c>
      <c r="I142" s="1">
        <f t="shared" si="14"/>
        <v>0</v>
      </c>
      <c r="J142" s="1">
        <f t="shared" si="15"/>
        <v>0</v>
      </c>
      <c r="K142" s="1">
        <f t="shared" si="16"/>
        <v>0</v>
      </c>
      <c r="L142" s="1">
        <f t="shared" si="17"/>
        <v>0</v>
      </c>
      <c r="M142" s="1">
        <f t="shared" si="18"/>
        <v>369</v>
      </c>
      <c r="N142" s="1">
        <v>1019</v>
      </c>
      <c r="O142" s="1">
        <v>2000</v>
      </c>
      <c r="P142" s="1">
        <v>826</v>
      </c>
      <c r="Q142" s="1">
        <v>1000</v>
      </c>
      <c r="R142" s="1">
        <v>653</v>
      </c>
      <c r="S142" s="1">
        <v>1000</v>
      </c>
      <c r="T142" s="1">
        <v>1047</v>
      </c>
      <c r="U142" s="1">
        <v>1000</v>
      </c>
      <c r="V142" s="1">
        <v>657</v>
      </c>
      <c r="W142" s="1">
        <v>500</v>
      </c>
      <c r="AL142" s="1">
        <f t="shared" si="19"/>
        <v>4202</v>
      </c>
      <c r="AM142" s="1">
        <f t="shared" si="20"/>
        <v>5500</v>
      </c>
    </row>
    <row r="143" spans="1:39" x14ac:dyDescent="0.35">
      <c r="A143" s="1" t="s">
        <v>138</v>
      </c>
      <c r="B143" s="1">
        <v>67</v>
      </c>
      <c r="C143" s="1">
        <v>100</v>
      </c>
      <c r="D143" s="1">
        <v>162</v>
      </c>
      <c r="I143" s="1">
        <f t="shared" si="14"/>
        <v>0</v>
      </c>
      <c r="J143" s="1">
        <f t="shared" si="15"/>
        <v>0</v>
      </c>
      <c r="K143" s="1">
        <f t="shared" si="16"/>
        <v>0</v>
      </c>
      <c r="L143" s="1">
        <f t="shared" si="17"/>
        <v>0</v>
      </c>
      <c r="M143" s="1">
        <f t="shared" si="18"/>
        <v>162</v>
      </c>
      <c r="N143" s="1">
        <v>1392</v>
      </c>
      <c r="O143" s="1">
        <v>1200</v>
      </c>
      <c r="P143" s="1">
        <v>1123</v>
      </c>
      <c r="Q143" s="1">
        <v>1300</v>
      </c>
      <c r="R143" s="1">
        <v>871</v>
      </c>
      <c r="S143" s="1">
        <v>1000</v>
      </c>
      <c r="T143" s="1">
        <v>688</v>
      </c>
      <c r="U143" s="1">
        <v>1500</v>
      </c>
      <c r="V143" s="1">
        <v>585</v>
      </c>
      <c r="W143" s="1">
        <v>600</v>
      </c>
      <c r="AL143" s="1">
        <f t="shared" si="19"/>
        <v>4659</v>
      </c>
      <c r="AM143" s="1">
        <f t="shared" si="20"/>
        <v>5600</v>
      </c>
    </row>
    <row r="144" spans="1:39" x14ac:dyDescent="0.35">
      <c r="A144" s="1" t="s">
        <v>139</v>
      </c>
      <c r="B144" s="1">
        <v>148</v>
      </c>
      <c r="C144" s="1">
        <v>300</v>
      </c>
      <c r="D144" s="1">
        <v>264</v>
      </c>
      <c r="I144" s="1">
        <f t="shared" si="14"/>
        <v>0</v>
      </c>
      <c r="J144" s="1">
        <f t="shared" si="15"/>
        <v>0</v>
      </c>
      <c r="K144" s="1">
        <f t="shared" si="16"/>
        <v>0</v>
      </c>
      <c r="L144" s="1">
        <f t="shared" si="17"/>
        <v>0</v>
      </c>
      <c r="M144" s="1">
        <f t="shared" si="18"/>
        <v>264</v>
      </c>
      <c r="N144" s="1">
        <v>596</v>
      </c>
      <c r="O144" s="1">
        <v>1500</v>
      </c>
      <c r="P144" s="1">
        <v>1218</v>
      </c>
      <c r="Q144" s="1">
        <v>900</v>
      </c>
      <c r="R144" s="1">
        <v>764</v>
      </c>
      <c r="S144" s="1">
        <v>600</v>
      </c>
      <c r="T144" s="1">
        <v>333</v>
      </c>
      <c r="U144" s="1">
        <v>1200</v>
      </c>
      <c r="V144" s="1">
        <v>669</v>
      </c>
      <c r="W144" s="1">
        <v>600</v>
      </c>
      <c r="AL144" s="1">
        <f t="shared" si="19"/>
        <v>3580</v>
      </c>
      <c r="AM144" s="1">
        <f t="shared" si="20"/>
        <v>4800</v>
      </c>
    </row>
    <row r="145" spans="1:39" x14ac:dyDescent="0.35">
      <c r="A145" s="1" t="s">
        <v>140</v>
      </c>
      <c r="B145" s="1">
        <v>79</v>
      </c>
      <c r="C145" s="1">
        <v>300</v>
      </c>
      <c r="D145" s="1">
        <v>220</v>
      </c>
      <c r="I145" s="1">
        <f t="shared" si="14"/>
        <v>0</v>
      </c>
      <c r="J145" s="1">
        <f t="shared" si="15"/>
        <v>0</v>
      </c>
      <c r="K145" s="1">
        <f t="shared" si="16"/>
        <v>0</v>
      </c>
      <c r="L145" s="1">
        <f t="shared" si="17"/>
        <v>0</v>
      </c>
      <c r="M145" s="1">
        <f t="shared" si="18"/>
        <v>220</v>
      </c>
      <c r="N145" s="1">
        <v>1181</v>
      </c>
      <c r="O145" s="1">
        <v>900</v>
      </c>
      <c r="P145" s="1">
        <v>978</v>
      </c>
      <c r="Q145" s="1">
        <v>1500</v>
      </c>
      <c r="R145" s="1">
        <v>978</v>
      </c>
      <c r="S145" s="1">
        <v>600</v>
      </c>
      <c r="T145" s="1">
        <v>1719</v>
      </c>
      <c r="U145" s="1">
        <v>600</v>
      </c>
      <c r="V145" s="1">
        <v>487</v>
      </c>
      <c r="W145" s="1">
        <v>600</v>
      </c>
      <c r="AL145" s="1">
        <f t="shared" si="19"/>
        <v>5343</v>
      </c>
      <c r="AM145" s="1">
        <f t="shared" si="20"/>
        <v>4200</v>
      </c>
    </row>
    <row r="146" spans="1:39" x14ac:dyDescent="0.35">
      <c r="A146" s="1" t="s">
        <v>141</v>
      </c>
      <c r="B146" s="1">
        <v>17</v>
      </c>
      <c r="C146" s="1">
        <v>300</v>
      </c>
      <c r="D146" s="1">
        <v>309</v>
      </c>
      <c r="I146" s="1">
        <f t="shared" si="14"/>
        <v>0</v>
      </c>
      <c r="J146" s="1">
        <f t="shared" si="15"/>
        <v>0</v>
      </c>
      <c r="K146" s="1">
        <f t="shared" si="16"/>
        <v>0</v>
      </c>
      <c r="L146" s="1">
        <f t="shared" si="17"/>
        <v>0</v>
      </c>
      <c r="M146" s="1">
        <f t="shared" si="18"/>
        <v>309</v>
      </c>
      <c r="N146" s="1">
        <v>1084</v>
      </c>
      <c r="O146" s="1">
        <v>1200</v>
      </c>
      <c r="P146" s="1">
        <v>1074</v>
      </c>
      <c r="Q146" s="1">
        <v>900</v>
      </c>
      <c r="R146" s="1">
        <v>940</v>
      </c>
      <c r="S146" s="1">
        <v>1200</v>
      </c>
      <c r="T146" s="1">
        <v>1124</v>
      </c>
      <c r="U146" s="1">
        <v>1200</v>
      </c>
      <c r="V146" s="1">
        <v>916</v>
      </c>
      <c r="W146" s="1">
        <v>1200</v>
      </c>
      <c r="AL146" s="1">
        <f t="shared" si="19"/>
        <v>5138</v>
      </c>
      <c r="AM146" s="1">
        <f t="shared" si="20"/>
        <v>5700</v>
      </c>
    </row>
    <row r="147" spans="1:39" x14ac:dyDescent="0.35">
      <c r="A147" s="1" t="s">
        <v>142</v>
      </c>
      <c r="B147" s="1">
        <v>88</v>
      </c>
      <c r="C147" s="1">
        <v>500</v>
      </c>
      <c r="D147" s="1">
        <v>502</v>
      </c>
      <c r="I147" s="1">
        <f t="shared" si="14"/>
        <v>0</v>
      </c>
      <c r="J147" s="1">
        <f t="shared" si="15"/>
        <v>0</v>
      </c>
      <c r="K147" s="1">
        <f t="shared" si="16"/>
        <v>0</v>
      </c>
      <c r="L147" s="1">
        <f t="shared" si="17"/>
        <v>0</v>
      </c>
      <c r="M147" s="1">
        <f t="shared" si="18"/>
        <v>502</v>
      </c>
      <c r="N147" s="1">
        <v>1353</v>
      </c>
      <c r="O147" s="1">
        <v>1500</v>
      </c>
      <c r="P147" s="1">
        <v>1105</v>
      </c>
      <c r="Q147" s="1">
        <v>1000</v>
      </c>
      <c r="R147" s="1">
        <v>841</v>
      </c>
      <c r="S147" s="1">
        <v>500</v>
      </c>
      <c r="T147" s="1">
        <v>1064</v>
      </c>
      <c r="U147" s="1">
        <v>1000</v>
      </c>
      <c r="V147" s="1">
        <v>749</v>
      </c>
      <c r="W147" s="1">
        <v>1000</v>
      </c>
      <c r="AL147" s="1">
        <f t="shared" si="19"/>
        <v>5112</v>
      </c>
      <c r="AM147" s="1">
        <f t="shared" si="20"/>
        <v>5000</v>
      </c>
    </row>
    <row r="148" spans="1:39" x14ac:dyDescent="0.35">
      <c r="A148" s="1" t="s">
        <v>143</v>
      </c>
      <c r="B148" s="1">
        <v>70</v>
      </c>
      <c r="C148" s="1">
        <v>200</v>
      </c>
      <c r="D148" s="1">
        <v>269</v>
      </c>
      <c r="I148" s="1">
        <f t="shared" si="14"/>
        <v>0</v>
      </c>
      <c r="J148" s="1">
        <f t="shared" si="15"/>
        <v>0</v>
      </c>
      <c r="K148" s="1">
        <f t="shared" si="16"/>
        <v>0</v>
      </c>
      <c r="L148" s="1">
        <f t="shared" si="17"/>
        <v>0</v>
      </c>
      <c r="M148" s="1">
        <f t="shared" si="18"/>
        <v>269</v>
      </c>
      <c r="N148" s="1">
        <v>1649</v>
      </c>
      <c r="O148" s="1">
        <v>1200</v>
      </c>
      <c r="P148" s="1">
        <v>1269</v>
      </c>
      <c r="Q148" s="1">
        <v>400</v>
      </c>
      <c r="R148" s="1">
        <v>1497</v>
      </c>
      <c r="S148" s="1">
        <v>1000</v>
      </c>
      <c r="T148" s="1">
        <v>1370</v>
      </c>
      <c r="U148" s="1">
        <v>600</v>
      </c>
      <c r="V148" s="1">
        <v>475</v>
      </c>
      <c r="W148" s="1">
        <v>600</v>
      </c>
      <c r="AL148" s="1">
        <f t="shared" si="19"/>
        <v>6260</v>
      </c>
      <c r="AM148" s="1">
        <f t="shared" si="20"/>
        <v>3800</v>
      </c>
    </row>
    <row r="149" spans="1:39" x14ac:dyDescent="0.35">
      <c r="A149" s="1" t="s">
        <v>144</v>
      </c>
      <c r="B149" s="1">
        <v>115</v>
      </c>
      <c r="C149" s="1">
        <v>300</v>
      </c>
      <c r="D149" s="1">
        <v>373</v>
      </c>
      <c r="I149" s="1">
        <f t="shared" si="14"/>
        <v>0</v>
      </c>
      <c r="J149" s="1">
        <f t="shared" si="15"/>
        <v>0</v>
      </c>
      <c r="K149" s="1">
        <f t="shared" si="16"/>
        <v>0</v>
      </c>
      <c r="L149" s="1">
        <f t="shared" si="17"/>
        <v>0</v>
      </c>
      <c r="M149" s="1">
        <f t="shared" si="18"/>
        <v>373</v>
      </c>
      <c r="N149" s="1">
        <v>1325</v>
      </c>
      <c r="O149" s="1">
        <v>1500</v>
      </c>
      <c r="P149" s="1">
        <v>691</v>
      </c>
      <c r="Q149" s="1">
        <v>1200</v>
      </c>
      <c r="R149" s="1">
        <v>941</v>
      </c>
      <c r="S149" s="1">
        <v>900</v>
      </c>
      <c r="T149" s="1">
        <v>1079</v>
      </c>
      <c r="U149" s="1">
        <v>900</v>
      </c>
      <c r="V149" s="1">
        <v>511</v>
      </c>
      <c r="W149" s="1">
        <v>600</v>
      </c>
      <c r="AL149" s="1">
        <f t="shared" si="19"/>
        <v>4547</v>
      </c>
      <c r="AM149" s="1">
        <f t="shared" si="20"/>
        <v>5100</v>
      </c>
    </row>
    <row r="150" spans="1:39" x14ac:dyDescent="0.35">
      <c r="A150" s="1" t="s">
        <v>145</v>
      </c>
      <c r="B150" s="1">
        <v>21</v>
      </c>
      <c r="C150" s="1">
        <v>400</v>
      </c>
      <c r="D150" s="1">
        <v>97</v>
      </c>
      <c r="I150" s="1">
        <f t="shared" si="14"/>
        <v>0</v>
      </c>
      <c r="J150" s="1">
        <f t="shared" si="15"/>
        <v>0</v>
      </c>
      <c r="K150" s="1">
        <f t="shared" si="16"/>
        <v>0</v>
      </c>
      <c r="L150" s="1">
        <f t="shared" si="17"/>
        <v>0</v>
      </c>
      <c r="M150" s="1">
        <f t="shared" si="18"/>
        <v>97</v>
      </c>
      <c r="N150" s="1">
        <v>1241</v>
      </c>
      <c r="O150" s="1">
        <v>800</v>
      </c>
      <c r="P150" s="1">
        <v>790</v>
      </c>
      <c r="Q150" s="1">
        <v>800</v>
      </c>
      <c r="R150" s="1">
        <v>1214</v>
      </c>
      <c r="S150" s="1">
        <v>1200</v>
      </c>
      <c r="T150" s="1">
        <v>562</v>
      </c>
      <c r="U150" s="1">
        <v>800</v>
      </c>
      <c r="V150" s="1">
        <v>618</v>
      </c>
      <c r="W150" s="1">
        <v>400</v>
      </c>
      <c r="AL150" s="1">
        <f t="shared" si="19"/>
        <v>4425</v>
      </c>
      <c r="AM150" s="1">
        <f t="shared" si="20"/>
        <v>4000</v>
      </c>
    </row>
    <row r="151" spans="1:39" x14ac:dyDescent="0.35">
      <c r="A151" s="1" t="s">
        <v>146</v>
      </c>
      <c r="B151" s="1">
        <v>112</v>
      </c>
      <c r="C151" s="1">
        <v>200</v>
      </c>
      <c r="D151" s="1">
        <v>151</v>
      </c>
      <c r="I151" s="1">
        <f t="shared" si="14"/>
        <v>0</v>
      </c>
      <c r="J151" s="1">
        <f t="shared" si="15"/>
        <v>0</v>
      </c>
      <c r="K151" s="1">
        <f t="shared" si="16"/>
        <v>0</v>
      </c>
      <c r="L151" s="1">
        <f t="shared" si="17"/>
        <v>0</v>
      </c>
      <c r="M151" s="1">
        <f t="shared" si="18"/>
        <v>151</v>
      </c>
      <c r="N151" s="1">
        <v>1173</v>
      </c>
      <c r="O151" s="1">
        <v>1600</v>
      </c>
      <c r="P151" s="1">
        <v>945</v>
      </c>
      <c r="Q151" s="1">
        <v>600</v>
      </c>
      <c r="R151" s="1">
        <v>839</v>
      </c>
      <c r="S151" s="1">
        <v>1000</v>
      </c>
      <c r="T151" s="1">
        <v>800</v>
      </c>
      <c r="U151" s="1">
        <v>800</v>
      </c>
      <c r="V151" s="1">
        <v>961</v>
      </c>
      <c r="W151" s="1">
        <v>1000</v>
      </c>
      <c r="AL151" s="1">
        <f t="shared" si="19"/>
        <v>4718</v>
      </c>
      <c r="AM151" s="1">
        <f t="shared" si="20"/>
        <v>5000</v>
      </c>
    </row>
    <row r="152" spans="1:39" x14ac:dyDescent="0.35">
      <c r="A152" s="1" t="s">
        <v>147</v>
      </c>
      <c r="B152" s="1">
        <v>10</v>
      </c>
      <c r="C152" s="1">
        <v>500</v>
      </c>
      <c r="D152" s="1">
        <v>370</v>
      </c>
      <c r="I152" s="1">
        <f t="shared" si="14"/>
        <v>0</v>
      </c>
      <c r="J152" s="1">
        <f t="shared" si="15"/>
        <v>0</v>
      </c>
      <c r="K152" s="1">
        <f t="shared" si="16"/>
        <v>0</v>
      </c>
      <c r="L152" s="1">
        <f t="shared" si="17"/>
        <v>0</v>
      </c>
      <c r="M152" s="1">
        <f t="shared" si="18"/>
        <v>370</v>
      </c>
      <c r="N152" s="1">
        <v>1256</v>
      </c>
      <c r="O152" s="1">
        <v>500</v>
      </c>
      <c r="P152" s="1">
        <v>1041</v>
      </c>
      <c r="Q152" s="1">
        <v>1000</v>
      </c>
      <c r="R152" s="1">
        <v>824</v>
      </c>
      <c r="S152" s="1">
        <v>500</v>
      </c>
      <c r="T152" s="1">
        <v>1007</v>
      </c>
      <c r="U152" s="1">
        <v>1500</v>
      </c>
      <c r="V152" s="1">
        <v>732</v>
      </c>
      <c r="W152" s="1">
        <v>1000</v>
      </c>
      <c r="AL152" s="1">
        <f t="shared" si="19"/>
        <v>4860</v>
      </c>
      <c r="AM152" s="1">
        <f t="shared" si="20"/>
        <v>4500</v>
      </c>
    </row>
    <row r="153" spans="1:39" x14ac:dyDescent="0.35">
      <c r="A153" s="1" t="s">
        <v>148</v>
      </c>
      <c r="B153" s="1">
        <v>110</v>
      </c>
      <c r="C153" s="1">
        <v>400</v>
      </c>
      <c r="D153" s="1">
        <v>145</v>
      </c>
      <c r="I153" s="1">
        <f t="shared" si="14"/>
        <v>0</v>
      </c>
      <c r="J153" s="1">
        <f t="shared" si="15"/>
        <v>0</v>
      </c>
      <c r="K153" s="1">
        <f t="shared" si="16"/>
        <v>0</v>
      </c>
      <c r="L153" s="1">
        <f t="shared" si="17"/>
        <v>0</v>
      </c>
      <c r="M153" s="1">
        <f t="shared" si="18"/>
        <v>145</v>
      </c>
      <c r="N153" s="1">
        <v>1192</v>
      </c>
      <c r="O153" s="1">
        <v>1200</v>
      </c>
      <c r="P153" s="1">
        <v>662</v>
      </c>
      <c r="Q153" s="1">
        <v>400</v>
      </c>
      <c r="R153" s="1">
        <v>1469</v>
      </c>
      <c r="S153" s="1">
        <v>800</v>
      </c>
      <c r="T153" s="1">
        <v>747</v>
      </c>
      <c r="U153" s="1">
        <v>1600</v>
      </c>
      <c r="V153" s="1">
        <v>580</v>
      </c>
      <c r="W153" s="1">
        <v>400</v>
      </c>
      <c r="AL153" s="1">
        <f t="shared" si="19"/>
        <v>4650</v>
      </c>
      <c r="AM153" s="1">
        <f t="shared" si="20"/>
        <v>4400</v>
      </c>
    </row>
    <row r="154" spans="1:39" x14ac:dyDescent="0.35">
      <c r="A154" s="1" t="s">
        <v>149</v>
      </c>
      <c r="B154" s="1">
        <v>25</v>
      </c>
      <c r="C154" s="1">
        <v>300</v>
      </c>
      <c r="D154" s="1">
        <v>208</v>
      </c>
      <c r="I154" s="1">
        <f t="shared" si="14"/>
        <v>0</v>
      </c>
      <c r="J154" s="1">
        <f t="shared" si="15"/>
        <v>0</v>
      </c>
      <c r="K154" s="1">
        <f t="shared" si="16"/>
        <v>0</v>
      </c>
      <c r="L154" s="1">
        <f t="shared" si="17"/>
        <v>0</v>
      </c>
      <c r="M154" s="1">
        <f t="shared" si="18"/>
        <v>208</v>
      </c>
      <c r="N154" s="1">
        <v>1147</v>
      </c>
      <c r="O154" s="1">
        <v>1500</v>
      </c>
      <c r="P154" s="1">
        <v>1302</v>
      </c>
      <c r="Q154" s="1">
        <v>900</v>
      </c>
      <c r="R154" s="1">
        <v>1159</v>
      </c>
      <c r="S154" s="1">
        <v>1200</v>
      </c>
      <c r="T154" s="1">
        <v>1080</v>
      </c>
      <c r="U154" s="1">
        <v>1200</v>
      </c>
      <c r="V154" s="1">
        <v>697</v>
      </c>
      <c r="W154" s="1">
        <v>600</v>
      </c>
      <c r="AL154" s="1">
        <f t="shared" si="19"/>
        <v>5385</v>
      </c>
      <c r="AM154" s="1">
        <f t="shared" si="20"/>
        <v>5400</v>
      </c>
    </row>
    <row r="155" spans="1:39" x14ac:dyDescent="0.35">
      <c r="A155" s="1" t="s">
        <v>150</v>
      </c>
      <c r="B155" s="1">
        <v>144</v>
      </c>
      <c r="C155" s="1">
        <v>300</v>
      </c>
      <c r="D155" s="1">
        <v>264</v>
      </c>
      <c r="I155" s="1">
        <f t="shared" si="14"/>
        <v>0</v>
      </c>
      <c r="J155" s="1">
        <f t="shared" si="15"/>
        <v>0</v>
      </c>
      <c r="K155" s="1">
        <f t="shared" si="16"/>
        <v>0</v>
      </c>
      <c r="L155" s="1">
        <f t="shared" si="17"/>
        <v>0</v>
      </c>
      <c r="M155" s="1">
        <f t="shared" si="18"/>
        <v>264</v>
      </c>
      <c r="N155" s="1">
        <v>972</v>
      </c>
      <c r="O155" s="1">
        <v>900</v>
      </c>
      <c r="P155" s="1">
        <v>867</v>
      </c>
      <c r="Q155" s="1">
        <v>1500</v>
      </c>
      <c r="R155" s="1">
        <v>978</v>
      </c>
      <c r="S155" s="1">
        <v>1200</v>
      </c>
      <c r="T155" s="1">
        <v>887</v>
      </c>
      <c r="U155" s="1">
        <v>600</v>
      </c>
      <c r="V155" s="1">
        <v>781</v>
      </c>
      <c r="W155" s="1">
        <v>900</v>
      </c>
      <c r="AL155" s="1">
        <f t="shared" si="19"/>
        <v>4485</v>
      </c>
      <c r="AM155" s="1">
        <f t="shared" si="20"/>
        <v>5100</v>
      </c>
    </row>
    <row r="156" spans="1:39" x14ac:dyDescent="0.35">
      <c r="A156" s="1" t="s">
        <v>175</v>
      </c>
      <c r="D156" s="1">
        <f t="shared" ref="D156:AK156" si="21">SUM(D6:D155)</f>
        <v>33718</v>
      </c>
      <c r="E156" s="1">
        <f t="shared" si="21"/>
        <v>0</v>
      </c>
      <c r="F156" s="1">
        <f t="shared" si="21"/>
        <v>0</v>
      </c>
      <c r="G156" s="1">
        <f t="shared" si="21"/>
        <v>0</v>
      </c>
      <c r="H156" s="1">
        <f t="shared" si="21"/>
        <v>0</v>
      </c>
      <c r="I156" s="1">
        <f t="shared" si="21"/>
        <v>0</v>
      </c>
      <c r="J156" s="1">
        <f t="shared" si="21"/>
        <v>0</v>
      </c>
      <c r="K156" s="1">
        <f t="shared" si="21"/>
        <v>0</v>
      </c>
      <c r="L156" s="1">
        <f t="shared" si="21"/>
        <v>0</v>
      </c>
      <c r="M156" s="1">
        <f t="shared" si="21"/>
        <v>33718</v>
      </c>
      <c r="N156" s="1">
        <f t="shared" si="21"/>
        <v>153670</v>
      </c>
      <c r="O156" s="1">
        <f t="shared" si="21"/>
        <v>177000</v>
      </c>
      <c r="P156" s="1">
        <f t="shared" si="21"/>
        <v>143667</v>
      </c>
      <c r="Q156" s="1">
        <f t="shared" si="21"/>
        <v>145700</v>
      </c>
      <c r="R156" s="1">
        <f t="shared" si="21"/>
        <v>150442</v>
      </c>
      <c r="S156" s="1">
        <f t="shared" si="21"/>
        <v>151000</v>
      </c>
      <c r="T156" s="1">
        <f t="shared" si="21"/>
        <v>149013</v>
      </c>
      <c r="U156" s="1">
        <f t="shared" si="21"/>
        <v>151400</v>
      </c>
      <c r="V156" s="1">
        <f t="shared" si="21"/>
        <v>89323</v>
      </c>
      <c r="W156" s="1">
        <f t="shared" si="21"/>
        <v>89400</v>
      </c>
      <c r="X156" s="1">
        <f t="shared" si="21"/>
        <v>0</v>
      </c>
      <c r="Y156" s="1">
        <f t="shared" si="21"/>
        <v>0</v>
      </c>
      <c r="Z156" s="1">
        <f t="shared" si="21"/>
        <v>0</v>
      </c>
      <c r="AA156" s="1">
        <f t="shared" si="21"/>
        <v>0</v>
      </c>
      <c r="AB156" s="1">
        <f t="shared" si="21"/>
        <v>0</v>
      </c>
      <c r="AC156" s="1">
        <f t="shared" si="21"/>
        <v>0</v>
      </c>
      <c r="AD156" s="1">
        <f t="shared" si="21"/>
        <v>0</v>
      </c>
      <c r="AE156" s="1">
        <f t="shared" si="21"/>
        <v>0</v>
      </c>
      <c r="AF156" s="1">
        <f t="shared" si="21"/>
        <v>0</v>
      </c>
      <c r="AG156" s="1">
        <f t="shared" si="21"/>
        <v>0</v>
      </c>
      <c r="AH156" s="1">
        <f t="shared" si="21"/>
        <v>0</v>
      </c>
      <c r="AI156" s="1">
        <f t="shared" si="21"/>
        <v>0</v>
      </c>
      <c r="AJ156" s="1">
        <f t="shared" si="21"/>
        <v>0</v>
      </c>
      <c r="AK156" s="1">
        <f t="shared" si="21"/>
        <v>0</v>
      </c>
      <c r="AL156" s="1">
        <f t="shared" ref="AL156:AM156" si="22">SUM(AL6:AL155)</f>
        <v>686115</v>
      </c>
      <c r="AM156" s="1">
        <f t="shared" si="22"/>
        <v>714500</v>
      </c>
    </row>
  </sheetData>
  <mergeCells count="15">
    <mergeCell ref="AL4:AM4"/>
    <mergeCell ref="E4:H4"/>
    <mergeCell ref="I4:L4"/>
    <mergeCell ref="Z4:AA4"/>
    <mergeCell ref="AB4:AC4"/>
    <mergeCell ref="AD4:AE4"/>
    <mergeCell ref="AF4:AG4"/>
    <mergeCell ref="AH4:AI4"/>
    <mergeCell ref="AJ4:AK4"/>
    <mergeCell ref="N4:O4"/>
    <mergeCell ref="P4:Q4"/>
    <mergeCell ref="R4:S4"/>
    <mergeCell ref="T4:U4"/>
    <mergeCell ref="V4:W4"/>
    <mergeCell ref="X4:Y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_Click">
                <anchor moveWithCells="1" sizeWithCells="1">
                  <from>
                    <xdr:col>3</xdr:col>
                    <xdr:colOff>184150</xdr:colOff>
                    <xdr:row>0</xdr:row>
                    <xdr:rowOff>0</xdr:rowOff>
                  </from>
                  <to>
                    <xdr:col>3</xdr:col>
                    <xdr:colOff>927100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Sales_Click">
                <anchor moveWithCells="1" sizeWithCells="1">
                  <from>
                    <xdr:col>4</xdr:col>
                    <xdr:colOff>114300</xdr:colOff>
                    <xdr:row>0</xdr:row>
                    <xdr:rowOff>0</xdr:rowOff>
                  </from>
                  <to>
                    <xdr:col>5</xdr:col>
                    <xdr:colOff>628650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8</xdr:col>
                    <xdr:colOff>12700</xdr:colOff>
                    <xdr:row>0</xdr:row>
                    <xdr:rowOff>25400</xdr:rowOff>
                  </from>
                  <to>
                    <xdr:col>9</xdr:col>
                    <xdr:colOff>260350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rocessEOM_Click">
                <anchor moveWithCells="1" sizeWithCells="1">
                  <from>
                    <xdr:col>9</xdr:col>
                    <xdr:colOff>495300</xdr:colOff>
                    <xdr:row>0</xdr:row>
                    <xdr:rowOff>0</xdr:rowOff>
                  </from>
                  <to>
                    <xdr:col>10</xdr:col>
                    <xdr:colOff>825500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4524-8428-4722-91F8-700BFD9A9E34}">
  <sheetPr codeName="Sheet2"/>
  <dimension ref="A1:B14"/>
  <sheetViews>
    <sheetView workbookViewId="0">
      <selection activeCell="A14" sqref="A14"/>
    </sheetView>
  </sheetViews>
  <sheetFormatPr defaultRowHeight="14.5" x14ac:dyDescent="0.35"/>
  <sheetData>
    <row r="1" spans="1:2" x14ac:dyDescent="0.35">
      <c r="A1">
        <v>14</v>
      </c>
      <c r="B1" t="s">
        <v>152</v>
      </c>
    </row>
    <row r="2" spans="1:2" x14ac:dyDescent="0.35">
      <c r="A2">
        <v>16</v>
      </c>
      <c r="B2" t="s">
        <v>153</v>
      </c>
    </row>
    <row r="3" spans="1:2" x14ac:dyDescent="0.35">
      <c r="A3">
        <v>18</v>
      </c>
      <c r="B3" t="s">
        <v>154</v>
      </c>
    </row>
    <row r="4" spans="1:2" x14ac:dyDescent="0.35">
      <c r="A4">
        <v>20</v>
      </c>
      <c r="B4" t="s">
        <v>155</v>
      </c>
    </row>
    <row r="5" spans="1:2" x14ac:dyDescent="0.35">
      <c r="A5">
        <v>22</v>
      </c>
      <c r="B5" t="s">
        <v>156</v>
      </c>
    </row>
    <row r="6" spans="1:2" x14ac:dyDescent="0.35">
      <c r="A6">
        <v>24</v>
      </c>
      <c r="B6" t="s">
        <v>157</v>
      </c>
    </row>
    <row r="7" spans="1:2" x14ac:dyDescent="0.35">
      <c r="A7">
        <v>26</v>
      </c>
      <c r="B7" t="s">
        <v>158</v>
      </c>
    </row>
    <row r="8" spans="1:2" x14ac:dyDescent="0.35">
      <c r="A8">
        <v>28</v>
      </c>
      <c r="B8" t="s">
        <v>159</v>
      </c>
    </row>
    <row r="9" spans="1:2" x14ac:dyDescent="0.35">
      <c r="A9">
        <v>30</v>
      </c>
      <c r="B9" t="s">
        <v>160</v>
      </c>
    </row>
    <row r="10" spans="1:2" x14ac:dyDescent="0.35">
      <c r="A10">
        <v>32</v>
      </c>
      <c r="B10" t="s">
        <v>161</v>
      </c>
    </row>
    <row r="11" spans="1:2" x14ac:dyDescent="0.35">
      <c r="A11">
        <v>34</v>
      </c>
      <c r="B11" t="s">
        <v>162</v>
      </c>
    </row>
    <row r="12" spans="1:2" x14ac:dyDescent="0.35">
      <c r="A12">
        <v>36</v>
      </c>
      <c r="B12" t="s">
        <v>163</v>
      </c>
    </row>
    <row r="14" spans="1:2" x14ac:dyDescent="0.35">
      <c r="A14">
        <f>INDEX(A1:A12,'Inventory 2019'!I1)</f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Inventory 2019</vt:lpstr>
      <vt:lpstr>Lookups</vt:lpstr>
      <vt:lpstr>BeginningInventory</vt:lpstr>
      <vt:lpstr>EndingInventory</vt:lpstr>
      <vt:lpstr>Months</vt:lpstr>
      <vt:lpstr>Products</vt:lpstr>
      <vt:lpstr>Sales</vt:lpstr>
      <vt:lpstr>SelectedColumn</vt:lpstr>
      <vt:lpstr>TotalRow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Kingaby, Simon</dc:creator>
  <cp:lastModifiedBy>Kingaby, Simon</cp:lastModifiedBy>
  <dcterms:created xsi:type="dcterms:W3CDTF">2019-06-01T00:17:37Z</dcterms:created>
  <dcterms:modified xsi:type="dcterms:W3CDTF">2019-06-01T14:33:47Z</dcterms:modified>
</cp:coreProperties>
</file>